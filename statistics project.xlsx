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iw\AppData\Local\Packages\5319275A.WhatsAppDesktop_cv1g1gvanyjgm\LocalState\sessions\22F899D88C71806A06DCE0015376FCFAE1FFC7B2\transfers\2026-11\"/>
    </mc:Choice>
  </mc:AlternateContent>
  <xr:revisionPtr revIDLastSave="0" documentId="13_ncr:1_{47A3E602-D607-4087-95D2-6F215C00B73B}" xr6:coauthVersionLast="47" xr6:coauthVersionMax="47" xr10:uidLastSave="{00000000-0000-0000-0000-000000000000}"/>
  <bookViews>
    <workbookView xWindow="-108" yWindow="-108" windowWidth="23256" windowHeight="12456" xr2:uid="{EE8675DF-61CB-4687-9310-CAA75E587C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6" i="1" l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G39" i="1"/>
  <c r="M39" i="1"/>
  <c r="F39" i="1"/>
  <c r="D39" i="1"/>
  <c r="G38" i="1"/>
  <c r="M38" i="1"/>
  <c r="F38" i="1"/>
  <c r="D38" i="1"/>
  <c r="G37" i="1"/>
  <c r="M37" i="1"/>
  <c r="F37" i="1"/>
  <c r="D37" i="1"/>
  <c r="G36" i="1"/>
  <c r="M36" i="1"/>
  <c r="F36" i="1"/>
  <c r="D36" i="1"/>
  <c r="G35" i="1"/>
  <c r="M35" i="1"/>
  <c r="F35" i="1"/>
  <c r="D35" i="1"/>
  <c r="G34" i="1"/>
  <c r="M34" i="1"/>
  <c r="F34" i="1"/>
  <c r="D34" i="1"/>
  <c r="G33" i="1"/>
  <c r="M33" i="1"/>
  <c r="F33" i="1"/>
  <c r="D33" i="1"/>
  <c r="G32" i="1"/>
  <c r="M32" i="1"/>
  <c r="F32" i="1"/>
  <c r="D32" i="1"/>
  <c r="G31" i="1"/>
  <c r="M31" i="1"/>
  <c r="F31" i="1"/>
  <c r="D31" i="1"/>
  <c r="G30" i="1"/>
  <c r="M30" i="1"/>
  <c r="F30" i="1"/>
  <c r="D30" i="1"/>
  <c r="G29" i="1"/>
  <c r="M29" i="1"/>
  <c r="F29" i="1"/>
  <c r="D29" i="1"/>
  <c r="G28" i="1"/>
  <c r="M28" i="1"/>
  <c r="F28" i="1"/>
  <c r="D28" i="1"/>
  <c r="G27" i="1"/>
  <c r="M27" i="1"/>
  <c r="F27" i="1"/>
  <c r="D27" i="1"/>
  <c r="G26" i="1"/>
  <c r="M26" i="1"/>
  <c r="F26" i="1"/>
  <c r="D26" i="1"/>
  <c r="G25" i="1"/>
  <c r="M25" i="1"/>
  <c r="F25" i="1"/>
  <c r="D25" i="1"/>
  <c r="G24" i="1"/>
  <c r="M24" i="1"/>
  <c r="F24" i="1"/>
  <c r="D24" i="1"/>
  <c r="G23" i="1"/>
  <c r="M23" i="1"/>
  <c r="F23" i="1"/>
  <c r="D23" i="1"/>
  <c r="G22" i="1"/>
  <c r="M22" i="1"/>
  <c r="F22" i="1"/>
  <c r="D22" i="1"/>
  <c r="G21" i="1"/>
  <c r="M21" i="1"/>
  <c r="F21" i="1"/>
  <c r="D21" i="1"/>
  <c r="G20" i="1"/>
  <c r="M20" i="1"/>
  <c r="F20" i="1"/>
  <c r="D20" i="1"/>
  <c r="G19" i="1"/>
  <c r="M19" i="1"/>
  <c r="F19" i="1"/>
  <c r="D19" i="1"/>
  <c r="G18" i="1"/>
  <c r="M18" i="1"/>
  <c r="F18" i="1"/>
  <c r="D18" i="1"/>
  <c r="G17" i="1"/>
  <c r="M17" i="1"/>
  <c r="F17" i="1"/>
  <c r="D17" i="1"/>
  <c r="G16" i="1"/>
  <c r="M16" i="1"/>
  <c r="F16" i="1"/>
  <c r="D16" i="1"/>
  <c r="G15" i="1"/>
  <c r="M15" i="1"/>
  <c r="F15" i="1"/>
  <c r="D15" i="1"/>
  <c r="G14" i="1"/>
  <c r="M14" i="1"/>
  <c r="F14" i="1"/>
  <c r="D14" i="1"/>
  <c r="G13" i="1"/>
  <c r="M13" i="1"/>
  <c r="F13" i="1"/>
  <c r="D13" i="1"/>
  <c r="G12" i="1"/>
  <c r="M12" i="1"/>
  <c r="F12" i="1"/>
  <c r="D12" i="1"/>
  <c r="G11" i="1"/>
  <c r="M11" i="1"/>
  <c r="F11" i="1"/>
  <c r="D11" i="1"/>
  <c r="G10" i="1"/>
  <c r="M10" i="1"/>
  <c r="F10" i="1"/>
  <c r="D10" i="1"/>
  <c r="G9" i="1"/>
  <c r="M9" i="1"/>
  <c r="F9" i="1"/>
  <c r="D9" i="1"/>
  <c r="G8" i="1"/>
  <c r="M8" i="1"/>
  <c r="F8" i="1"/>
  <c r="D8" i="1"/>
  <c r="G7" i="1"/>
  <c r="M7" i="1"/>
  <c r="F7" i="1"/>
  <c r="D7" i="1"/>
  <c r="G6" i="1"/>
  <c r="M6" i="1"/>
  <c r="F6" i="1"/>
  <c r="D6" i="1"/>
  <c r="G5" i="1"/>
  <c r="M5" i="1"/>
  <c r="F5" i="1"/>
  <c r="D5" i="1"/>
  <c r="G4" i="1"/>
  <c r="M4" i="1"/>
  <c r="F4" i="1"/>
  <c r="D4" i="1"/>
  <c r="G3" i="1"/>
  <c r="M3" i="1"/>
  <c r="F3" i="1"/>
  <c r="D3" i="1"/>
  <c r="G2" i="1"/>
  <c r="M2" i="1"/>
  <c r="F2" i="1"/>
  <c r="D2" i="1"/>
</calcChain>
</file>

<file path=xl/sharedStrings.xml><?xml version="1.0" encoding="utf-8"?>
<sst xmlns="http://schemas.openxmlformats.org/spreadsheetml/2006/main" count="48" uniqueCount="26">
  <si>
    <t>Year/ Item</t>
  </si>
  <si>
    <t>III. Current account (I+II)</t>
  </si>
  <si>
    <t>Gross fiscal deficit (3-2)</t>
  </si>
  <si>
    <t>ln(crude oil prices)</t>
  </si>
  <si>
    <t>Crude Oil Prices($)</t>
  </si>
  <si>
    <t xml:space="preserve">var 1 oil square  </t>
  </si>
  <si>
    <t>gfd % gdp square</t>
  </si>
  <si>
    <t>var oil cubic</t>
  </si>
  <si>
    <t xml:space="preserve">gfd % gdp </t>
  </si>
  <si>
    <t>Crude oil, average</t>
  </si>
  <si>
    <t>Crude oil, Brent</t>
  </si>
  <si>
    <t>Crude oil, Dubai</t>
  </si>
  <si>
    <t>Crude oil, WTI</t>
  </si>
  <si>
    <t xml:space="preserve"> Fiscal Deficit % of GDP</t>
  </si>
  <si>
    <t>…</t>
  </si>
  <si>
    <t>gdp</t>
  </si>
  <si>
    <t>cad</t>
  </si>
  <si>
    <t>GFD</t>
  </si>
  <si>
    <t>log_y</t>
  </si>
  <si>
    <t>log_x</t>
  </si>
  <si>
    <t>pw_y</t>
  </si>
  <si>
    <t>pw_x</t>
  </si>
  <si>
    <t>pwy</t>
  </si>
  <si>
    <t>pwx</t>
  </si>
  <si>
    <t>pwy1</t>
  </si>
  <si>
    <t>pwx2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</si>
</sst>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4" formatCode="0.00000"/>
    <numFmt numFmtId="165" formatCode="#,##0.0000_ ;\-#,##0.0000\ 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sz val="10"/>
      <color rgb="FF000000"/>
      <name val="Roboto"/>
    </font>
    <font>
      <b/>
      <sz val="9"/>
      <color rgb="FF000000"/>
      <name val="Arial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88AC7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7EB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2">
    <xf numFmtId="0" fontId="0" fillId="0" borderId="0" xfId="0"/>
    <xf numFmtId="49" fontId="2" fillId="2" borderId="1" xfId="1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3" fillId="0" borderId="0" xfId="2" applyAlignment="1">
      <alignment wrapText="1"/>
    </xf>
    <xf numFmtId="0" fontId="0" fillId="3" borderId="4" xfId="0" applyFill="1" applyBorder="1"/>
    <xf numFmtId="3" fontId="4" fillId="4" borderId="5" xfId="1" applyNumberFormat="1" applyFont="1" applyFill="1" applyBorder="1" applyAlignment="1">
      <alignment horizontal="right" vertical="center"/>
    </xf>
    <xf numFmtId="3" fontId="5" fillId="5" borderId="3" xfId="0" applyNumberFormat="1" applyFont="1" applyFill="1" applyBorder="1" applyAlignment="1">
      <alignment horizontal="right" vertical="center"/>
    </xf>
    <xf numFmtId="0" fontId="6" fillId="6" borderId="6" xfId="0" applyFont="1" applyFill="1" applyBorder="1" applyAlignment="1">
      <alignment vertical="center" wrapText="1"/>
    </xf>
    <xf numFmtId="164" fontId="0" fillId="3" borderId="7" xfId="0" applyNumberFormat="1" applyFill="1" applyBorder="1"/>
    <xf numFmtId="0" fontId="0" fillId="0" borderId="4" xfId="0" applyBorder="1"/>
    <xf numFmtId="3" fontId="4" fillId="5" borderId="5" xfId="1" applyNumberFormat="1" applyFont="1" applyFill="1" applyBorder="1" applyAlignment="1">
      <alignment horizontal="right" vertical="center"/>
    </xf>
    <xf numFmtId="3" fontId="5" fillId="4" borderId="3" xfId="0" applyNumberFormat="1" applyFont="1" applyFill="1" applyBorder="1" applyAlignment="1">
      <alignment horizontal="right" vertical="center"/>
    </xf>
    <xf numFmtId="164" fontId="0" fillId="0" borderId="7" xfId="0" applyNumberFormat="1" applyBorder="1"/>
    <xf numFmtId="49" fontId="7" fillId="4" borderId="5" xfId="1" applyNumberFormat="1" applyFont="1" applyFill="1" applyBorder="1" applyAlignment="1">
      <alignment horizontal="left" vertical="center"/>
    </xf>
    <xf numFmtId="165" fontId="0" fillId="3" borderId="7" xfId="0" applyNumberFormat="1" applyFill="1" applyBorder="1"/>
    <xf numFmtId="165" fontId="0" fillId="0" borderId="7" xfId="0" applyNumberFormat="1" applyBorder="1"/>
    <xf numFmtId="0" fontId="0" fillId="0" borderId="0" xfId="0" applyAlignment="1">
      <alignment vertical="top" wrapText="1"/>
    </xf>
    <xf numFmtId="41" fontId="0" fillId="0" borderId="0" xfId="0" applyNumberFormat="1"/>
    <xf numFmtId="0" fontId="8" fillId="0" borderId="9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</cellXfs>
  <cellStyles count="3">
    <cellStyle name="Normal" xfId="0" builtinId="0"/>
    <cellStyle name="Normal 2" xfId="1" xr:uid="{A1D68940-4CE8-4017-9DCC-14FCEF41B394}"/>
    <cellStyle name="Normal 2 2" xfId="2" xr:uid="{55D4C598-C7AB-42D3-ABD2-9F49C0F92B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813B-4456-41CD-A552-74A931B7F15A}">
  <dimension ref="A1:Z77"/>
  <sheetViews>
    <sheetView tabSelected="1" workbookViewId="0">
      <selection activeCell="Y17" sqref="Y17"/>
    </sheetView>
  </sheetViews>
  <sheetFormatPr defaultRowHeight="14.4" x14ac:dyDescent="0.3"/>
  <cols>
    <col min="18" max="18" width="10.5546875" bestFit="1" customWidth="1"/>
  </cols>
  <sheetData>
    <row r="1" spans="1:26" ht="48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7</v>
      </c>
      <c r="H1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3" t="s">
        <v>6</v>
      </c>
      <c r="N1" s="5" t="s">
        <v>10</v>
      </c>
      <c r="O1" s="4" t="s">
        <v>13</v>
      </c>
      <c r="P1" s="5" t="s">
        <v>15</v>
      </c>
      <c r="Q1" s="5" t="s">
        <v>16</v>
      </c>
      <c r="R1" s="18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0" t="s">
        <v>22</v>
      </c>
      <c r="X1" s="20" t="s">
        <v>23</v>
      </c>
      <c r="Y1" s="21" t="s">
        <v>24</v>
      </c>
      <c r="Z1" s="21" t="s">
        <v>25</v>
      </c>
    </row>
    <row r="2" spans="1:26" ht="15" thickBot="1" x14ac:dyDescent="0.35">
      <c r="A2" s="6">
        <v>2025</v>
      </c>
      <c r="B2" s="7">
        <v>-23368.161988714</v>
      </c>
      <c r="C2" s="8">
        <v>1569527</v>
      </c>
      <c r="D2">
        <f t="shared" ref="D2:D39" si="0">LN(E2)</f>
        <v>4.388505600771591</v>
      </c>
      <c r="E2" s="9">
        <v>80.52</v>
      </c>
      <c r="F2">
        <f>E2*E2</f>
        <v>6483.4703999999992</v>
      </c>
      <c r="G2">
        <f t="shared" ref="G2:G39" si="1">E2*E2*E2</f>
        <v>522049.03660799994</v>
      </c>
      <c r="H2" s="10">
        <v>5.2104016794791104</v>
      </c>
      <c r="I2">
        <v>78.733722222219996</v>
      </c>
      <c r="J2">
        <v>80.698666666669993</v>
      </c>
      <c r="K2">
        <v>79.658333333330006</v>
      </c>
      <c r="L2">
        <v>75.844166666670006</v>
      </c>
      <c r="M2">
        <f t="shared" ref="M2:M33" si="2">H2*H2</f>
        <v>27.148285661518734</v>
      </c>
      <c r="N2">
        <v>80.698666666669993</v>
      </c>
      <c r="O2" s="10">
        <v>5.2104016794791104</v>
      </c>
      <c r="P2" s="16">
        <v>9.1907549302843563</v>
      </c>
      <c r="Q2" s="10">
        <v>-0.59766799999999998</v>
      </c>
      <c r="R2" s="19">
        <v>1569527</v>
      </c>
      <c r="S2">
        <v>14.266285</v>
      </c>
      <c r="T2">
        <v>4.3907220000000002</v>
      </c>
      <c r="U2">
        <v>6.7021290000000002</v>
      </c>
      <c r="V2">
        <v>2.0627080000000002</v>
      </c>
      <c r="W2">
        <v>801266.59968800005</v>
      </c>
      <c r="X2">
        <v>41.197854999999997</v>
      </c>
      <c r="Y2">
        <v>40.750355999999996</v>
      </c>
      <c r="Z2">
        <v>792563.080984</v>
      </c>
    </row>
    <row r="3" spans="1:26" ht="15" thickBot="1" x14ac:dyDescent="0.35">
      <c r="A3" s="11">
        <v>2024</v>
      </c>
      <c r="B3" s="12">
        <v>-26110.866182048001</v>
      </c>
      <c r="C3" s="13">
        <v>1654643.43</v>
      </c>
      <c r="D3">
        <f t="shared" si="0"/>
        <v>4.41267707387264</v>
      </c>
      <c r="E3" s="9">
        <v>82.49</v>
      </c>
      <c r="F3">
        <f t="shared" ref="F3:F39" si="3">E3*E3</f>
        <v>6804.6000999999987</v>
      </c>
      <c r="G3">
        <f t="shared" si="1"/>
        <v>561311.46224899986</v>
      </c>
      <c r="H3" s="14">
        <v>6.15327</v>
      </c>
      <c r="I3">
        <v>80.755694444439996</v>
      </c>
      <c r="J3">
        <v>82.616249999999994</v>
      </c>
      <c r="K3">
        <v>81.981666666669994</v>
      </c>
      <c r="L3">
        <v>77.669166666669994</v>
      </c>
      <c r="M3">
        <f t="shared" si="2"/>
        <v>37.862731692899999</v>
      </c>
      <c r="N3">
        <v>82.616249999999994</v>
      </c>
      <c r="O3" s="14">
        <v>6.15327</v>
      </c>
      <c r="P3" s="17">
        <v>7.6093649777040913</v>
      </c>
      <c r="Q3" s="14">
        <v>-0.71762899999999996</v>
      </c>
      <c r="R3" s="19">
        <v>1654643</v>
      </c>
      <c r="S3">
        <v>14.319096</v>
      </c>
      <c r="T3">
        <v>4.4142060000000001</v>
      </c>
      <c r="U3">
        <v>1.725115</v>
      </c>
      <c r="V3">
        <v>0.53816799999999998</v>
      </c>
      <c r="W3">
        <v>305055.34447200003</v>
      </c>
      <c r="X3">
        <v>13.225966</v>
      </c>
      <c r="Y3">
        <v>7.1702440000000003</v>
      </c>
      <c r="Z3">
        <v>187276.201848</v>
      </c>
    </row>
    <row r="4" spans="1:26" ht="15" thickBot="1" x14ac:dyDescent="0.35">
      <c r="A4" s="6">
        <v>2023</v>
      </c>
      <c r="B4" s="7">
        <v>-67054.785237161501</v>
      </c>
      <c r="C4" s="8">
        <v>1737755</v>
      </c>
      <c r="D4">
        <f t="shared" si="0"/>
        <v>4.6144272072507686</v>
      </c>
      <c r="E4" s="9">
        <v>100.93</v>
      </c>
      <c r="F4">
        <f t="shared" si="3"/>
        <v>10186.8649</v>
      </c>
      <c r="G4">
        <f t="shared" si="1"/>
        <v>1028160.2743570001</v>
      </c>
      <c r="H4" s="10">
        <v>7.3641804113137477</v>
      </c>
      <c r="I4">
        <v>97.10138888889</v>
      </c>
      <c r="J4">
        <v>99.824166666669996</v>
      </c>
      <c r="K4">
        <v>97.049166666670004</v>
      </c>
      <c r="L4">
        <v>94.43083333333</v>
      </c>
      <c r="M4">
        <f t="shared" si="2"/>
        <v>54.231153130377116</v>
      </c>
      <c r="N4">
        <v>99.824166666669996</v>
      </c>
      <c r="O4" s="10">
        <v>7.3641804113137477</v>
      </c>
      <c r="P4" s="16">
        <v>9.6895924919120908</v>
      </c>
      <c r="Q4" s="10">
        <v>-2.0039639999999999</v>
      </c>
      <c r="R4" s="19">
        <v>1737755</v>
      </c>
      <c r="S4">
        <v>14.368105</v>
      </c>
      <c r="T4">
        <v>4.6034100000000002</v>
      </c>
      <c r="U4">
        <v>1.727503</v>
      </c>
      <c r="V4">
        <v>0.70664000000000005</v>
      </c>
      <c r="W4">
        <v>314978.73230600002</v>
      </c>
      <c r="X4">
        <v>28.785011999999998</v>
      </c>
      <c r="Y4">
        <v>26.840910999999998</v>
      </c>
      <c r="Z4">
        <v>270138.27977899997</v>
      </c>
    </row>
    <row r="5" spans="1:26" ht="15" thickBot="1" x14ac:dyDescent="0.35">
      <c r="A5" s="11">
        <v>2022</v>
      </c>
      <c r="B5" s="12">
        <v>-38765.564609219502</v>
      </c>
      <c r="C5" s="13">
        <v>1584521</v>
      </c>
      <c r="D5">
        <f t="shared" si="0"/>
        <v>4.2607060994373258</v>
      </c>
      <c r="E5" s="9">
        <v>70.86</v>
      </c>
      <c r="F5">
        <f t="shared" si="3"/>
        <v>5021.1395999999995</v>
      </c>
      <c r="G5">
        <f t="shared" si="1"/>
        <v>355797.95205599995</v>
      </c>
      <c r="H5" s="14">
        <v>7.9808267245282076</v>
      </c>
      <c r="I5">
        <v>69.070555555560006</v>
      </c>
      <c r="J5">
        <v>70.443333333330003</v>
      </c>
      <c r="K5">
        <v>68.805000000000007</v>
      </c>
      <c r="L5">
        <v>67.963333333329999</v>
      </c>
      <c r="M5">
        <f t="shared" si="2"/>
        <v>63.693595206943641</v>
      </c>
      <c r="N5">
        <v>70.443333333330003</v>
      </c>
      <c r="O5" s="14">
        <v>7.9808267245282076</v>
      </c>
      <c r="P5" s="17">
        <v>-5.7777247068743316</v>
      </c>
      <c r="Q5" s="14">
        <v>-1.2239420000000001</v>
      </c>
      <c r="R5" s="19">
        <v>1584521</v>
      </c>
      <c r="S5">
        <v>14.275793</v>
      </c>
      <c r="T5">
        <v>4.2548089999999998</v>
      </c>
      <c r="U5">
        <v>1.5919270000000001</v>
      </c>
      <c r="V5">
        <v>0.19101299999999999</v>
      </c>
      <c r="W5">
        <v>90279.297670999993</v>
      </c>
      <c r="X5">
        <v>-15.392376000000001</v>
      </c>
      <c r="Y5">
        <v>-19.623519999999999</v>
      </c>
      <c r="Z5">
        <v>43980.194413999998</v>
      </c>
    </row>
    <row r="6" spans="1:26" ht="15" thickBot="1" x14ac:dyDescent="0.35">
      <c r="A6" s="6">
        <v>2021</v>
      </c>
      <c r="B6" s="7">
        <v>23912.327074508299</v>
      </c>
      <c r="C6" s="8">
        <v>1818291</v>
      </c>
      <c r="D6">
        <f t="shared" si="0"/>
        <v>3.7367167835280966</v>
      </c>
      <c r="E6" s="9">
        <v>41.96</v>
      </c>
      <c r="F6">
        <f t="shared" si="3"/>
        <v>1760.6416000000002</v>
      </c>
      <c r="G6">
        <f t="shared" si="1"/>
        <v>73876.521536000015</v>
      </c>
      <c r="H6" s="10">
        <v>9.04460716534828</v>
      </c>
      <c r="I6">
        <v>41.257777777779999</v>
      </c>
      <c r="J6">
        <v>42.3</v>
      </c>
      <c r="K6">
        <v>42.164999999999999</v>
      </c>
      <c r="L6">
        <v>39.308333333329998</v>
      </c>
      <c r="M6">
        <f t="shared" si="2"/>
        <v>81.804918775469446</v>
      </c>
      <c r="N6">
        <v>42.3</v>
      </c>
      <c r="O6" s="10">
        <v>9.04460716534828</v>
      </c>
      <c r="P6" s="16">
        <v>3.8714369407095703</v>
      </c>
      <c r="Q6" s="10">
        <v>0.89396799999999998</v>
      </c>
      <c r="R6" s="19">
        <v>1818291</v>
      </c>
      <c r="S6">
        <v>14.413408</v>
      </c>
      <c r="T6">
        <v>3.7447870000000001</v>
      </c>
      <c r="U6">
        <v>1.8110329999999999</v>
      </c>
      <c r="V6">
        <v>-1.1270000000000001E-2</v>
      </c>
      <c r="W6">
        <v>455810.46827000001</v>
      </c>
      <c r="X6">
        <v>-18.272041000000002</v>
      </c>
      <c r="Y6">
        <v>-16.009497</v>
      </c>
      <c r="Z6">
        <v>442540.205563</v>
      </c>
    </row>
    <row r="7" spans="1:26" ht="15" thickBot="1" x14ac:dyDescent="0.35">
      <c r="A7" s="11">
        <v>2020</v>
      </c>
      <c r="B7" s="12">
        <v>-24656.270667261299</v>
      </c>
      <c r="C7" s="13">
        <v>933651</v>
      </c>
      <c r="D7">
        <f t="shared" si="0"/>
        <v>4.1635596312435741</v>
      </c>
      <c r="E7" s="9">
        <v>64.3</v>
      </c>
      <c r="F7">
        <f t="shared" si="3"/>
        <v>4134.49</v>
      </c>
      <c r="G7">
        <f t="shared" si="1"/>
        <v>265847.70699999999</v>
      </c>
      <c r="H7" s="14">
        <v>4.9400390421529519</v>
      </c>
      <c r="I7">
        <v>61.407499999999999</v>
      </c>
      <c r="J7">
        <v>64.031666666670006</v>
      </c>
      <c r="K7">
        <v>63.177500000000002</v>
      </c>
      <c r="L7">
        <v>57.013333333330003</v>
      </c>
      <c r="M7">
        <f t="shared" si="2"/>
        <v>24.403985737995455</v>
      </c>
      <c r="N7">
        <v>64.031666666670006</v>
      </c>
      <c r="O7" s="14">
        <v>4.9400390421529519</v>
      </c>
      <c r="P7" s="17">
        <v>6.4538525171732362</v>
      </c>
      <c r="Q7" s="14">
        <v>-0.86952399999999996</v>
      </c>
      <c r="R7" s="19">
        <v>933651</v>
      </c>
      <c r="S7">
        <v>13.746858</v>
      </c>
      <c r="T7">
        <v>4.1593780000000002</v>
      </c>
      <c r="U7">
        <v>1.0229999999999999</v>
      </c>
      <c r="V7">
        <v>0.85355700000000001</v>
      </c>
      <c r="W7">
        <v>-629841.11434900004</v>
      </c>
      <c r="X7">
        <v>27.659206999999999</v>
      </c>
      <c r="Y7">
        <v>30.345036</v>
      </c>
      <c r="Z7">
        <v>-696841.24410899996</v>
      </c>
    </row>
    <row r="8" spans="1:26" ht="15" thickBot="1" x14ac:dyDescent="0.35">
      <c r="A8" s="6">
        <v>2019</v>
      </c>
      <c r="B8" s="7">
        <v>-57256.363293979302</v>
      </c>
      <c r="C8" s="8">
        <v>649418</v>
      </c>
      <c r="D8">
        <f t="shared" si="0"/>
        <v>4.2674571799307452</v>
      </c>
      <c r="E8" s="9">
        <v>71.34</v>
      </c>
      <c r="F8">
        <f t="shared" si="3"/>
        <v>5089.3956000000007</v>
      </c>
      <c r="G8">
        <f t="shared" si="1"/>
        <v>363077.48210400005</v>
      </c>
      <c r="H8" s="10">
        <v>3.7999789585069479</v>
      </c>
      <c r="I8">
        <v>68.347499999999997</v>
      </c>
      <c r="J8">
        <v>71.071666666669998</v>
      </c>
      <c r="K8">
        <v>69.151666666669996</v>
      </c>
      <c r="L8">
        <v>64.81916666667</v>
      </c>
      <c r="M8">
        <f t="shared" si="2"/>
        <v>14.439840085095549</v>
      </c>
      <c r="N8">
        <v>71.071666666669998</v>
      </c>
      <c r="O8" s="10">
        <v>3.7999789585069479</v>
      </c>
      <c r="P8" s="16">
        <v>6.7953822430318205</v>
      </c>
      <c r="Q8" s="10">
        <v>-2.1183079999999999</v>
      </c>
      <c r="R8" s="19">
        <v>649418</v>
      </c>
      <c r="S8">
        <v>13.383832</v>
      </c>
      <c r="T8">
        <v>4.2636890000000003</v>
      </c>
      <c r="U8">
        <v>1.2483900000000001</v>
      </c>
      <c r="V8">
        <v>0.59187599999999996</v>
      </c>
      <c r="W8">
        <v>-153399.57763399999</v>
      </c>
      <c r="X8">
        <v>16.012820000000001</v>
      </c>
      <c r="Y8">
        <v>11.94716</v>
      </c>
      <c r="Z8">
        <v>-60818.473583999999</v>
      </c>
    </row>
    <row r="9" spans="1:26" ht="15" thickBot="1" x14ac:dyDescent="0.35">
      <c r="A9" s="11">
        <v>2018</v>
      </c>
      <c r="B9" s="12">
        <v>-48717.212360739701</v>
      </c>
      <c r="C9" s="13">
        <v>591062</v>
      </c>
      <c r="D9">
        <f t="shared" si="0"/>
        <v>4.0020465080757344</v>
      </c>
      <c r="E9" s="9">
        <v>54.71</v>
      </c>
      <c r="F9">
        <f t="shared" si="3"/>
        <v>2993.1840999999999</v>
      </c>
      <c r="G9">
        <f t="shared" si="1"/>
        <v>163757.10211099999</v>
      </c>
      <c r="H9" s="14">
        <v>3.8401423523335905</v>
      </c>
      <c r="I9">
        <v>52.805</v>
      </c>
      <c r="J9">
        <v>54.392499999999998</v>
      </c>
      <c r="K9">
        <v>53.115833333330002</v>
      </c>
      <c r="L9">
        <v>50.906666666669999</v>
      </c>
      <c r="M9">
        <f t="shared" si="2"/>
        <v>14.746693286186161</v>
      </c>
      <c r="N9">
        <v>54.392499999999998</v>
      </c>
      <c r="O9" s="14">
        <v>3.8401423523335905</v>
      </c>
      <c r="P9" s="17">
        <v>8.25630550177328</v>
      </c>
      <c r="Q9" s="14">
        <v>-1.8373630000000001</v>
      </c>
      <c r="R9" s="19">
        <v>591062.07999999996</v>
      </c>
      <c r="S9">
        <v>13.289676</v>
      </c>
      <c r="T9">
        <v>3.9962260000000001</v>
      </c>
      <c r="U9">
        <v>1.474707</v>
      </c>
      <c r="V9">
        <v>0.23233000000000001</v>
      </c>
      <c r="W9">
        <v>32647.655731999999</v>
      </c>
      <c r="X9">
        <v>-6.7198250000000002</v>
      </c>
      <c r="Y9">
        <v>-9.0735690000000009</v>
      </c>
      <c r="Z9">
        <v>55196.044419999998</v>
      </c>
    </row>
    <row r="10" spans="1:26" ht="15" thickBot="1" x14ac:dyDescent="0.35">
      <c r="A10" s="6">
        <v>2017</v>
      </c>
      <c r="B10" s="7">
        <v>-14416.7102718101</v>
      </c>
      <c r="C10" s="8">
        <v>535618</v>
      </c>
      <c r="D10">
        <f t="shared" si="0"/>
        <v>3.8095472138389099</v>
      </c>
      <c r="E10" s="9">
        <v>45.13</v>
      </c>
      <c r="F10">
        <f t="shared" si="3"/>
        <v>2036.7169000000001</v>
      </c>
      <c r="G10">
        <f t="shared" si="1"/>
        <v>91917.033697000006</v>
      </c>
      <c r="H10" s="10">
        <v>3.8892165292828</v>
      </c>
      <c r="I10">
        <v>42.811944444440002</v>
      </c>
      <c r="J10">
        <v>44.047499999999999</v>
      </c>
      <c r="K10">
        <v>41.200833333330003</v>
      </c>
      <c r="L10">
        <v>43.1875</v>
      </c>
      <c r="M10">
        <f t="shared" si="2"/>
        <v>15.126005211646548</v>
      </c>
      <c r="N10">
        <v>44.047499999999999</v>
      </c>
      <c r="O10" s="10">
        <v>3.8892165292828</v>
      </c>
      <c r="P10" s="16">
        <v>7.9962537856736944</v>
      </c>
      <c r="Q10" s="10">
        <v>-0.62823499999999999</v>
      </c>
      <c r="R10" s="19">
        <v>535618</v>
      </c>
      <c r="S10">
        <v>13.191176</v>
      </c>
      <c r="T10">
        <v>3.785269</v>
      </c>
      <c r="U10">
        <v>1.459325</v>
      </c>
      <c r="V10">
        <v>0.25748300000000002</v>
      </c>
      <c r="W10">
        <v>27382.023926999998</v>
      </c>
      <c r="X10">
        <v>-2.7229260000000002</v>
      </c>
      <c r="Y10">
        <v>-1.735171</v>
      </c>
      <c r="Z10">
        <v>22583.105685999999</v>
      </c>
    </row>
    <row r="11" spans="1:26" ht="15" thickBot="1" x14ac:dyDescent="0.35">
      <c r="A11" s="11">
        <v>2016</v>
      </c>
      <c r="B11" s="12">
        <v>-22150.593409138</v>
      </c>
      <c r="C11" s="13">
        <v>532791</v>
      </c>
      <c r="D11">
        <f t="shared" si="0"/>
        <v>3.9708577911490388</v>
      </c>
      <c r="E11" s="9">
        <v>53.03</v>
      </c>
      <c r="F11">
        <f t="shared" si="3"/>
        <v>2812.1809000000003</v>
      </c>
      <c r="G11">
        <f t="shared" si="1"/>
        <v>149129.95312700002</v>
      </c>
      <c r="H11" s="14">
        <v>4.2732816173040025</v>
      </c>
      <c r="I11">
        <v>50.752777777779997</v>
      </c>
      <c r="J11">
        <v>52.37</v>
      </c>
      <c r="K11">
        <v>51.17916666667</v>
      </c>
      <c r="L11">
        <v>48.709166666670001</v>
      </c>
      <c r="M11">
        <f t="shared" si="2"/>
        <v>18.260935780788312</v>
      </c>
      <c r="N11">
        <v>52.37</v>
      </c>
      <c r="O11" s="14">
        <v>4.2732816173040025</v>
      </c>
      <c r="P11" s="17">
        <v>7.4102276051622145</v>
      </c>
      <c r="Q11" s="14">
        <v>-1.052991</v>
      </c>
      <c r="R11" s="19">
        <v>532791</v>
      </c>
      <c r="S11">
        <v>13.185885000000001</v>
      </c>
      <c r="T11">
        <v>3.9583339999999998</v>
      </c>
      <c r="U11">
        <v>1.5409870000000001</v>
      </c>
      <c r="V11">
        <v>0.61677700000000002</v>
      </c>
      <c r="W11">
        <v>72229.671090999997</v>
      </c>
      <c r="X11">
        <v>14.494918999999999</v>
      </c>
      <c r="Y11">
        <v>14.895165</v>
      </c>
      <c r="Z11">
        <v>68204.754411999995</v>
      </c>
    </row>
    <row r="12" spans="1:26" ht="15" thickBot="1" x14ac:dyDescent="0.35">
      <c r="A12" s="6">
        <v>2015</v>
      </c>
      <c r="B12" s="7">
        <v>-26858.6300752262</v>
      </c>
      <c r="C12" s="8">
        <v>510725</v>
      </c>
      <c r="D12">
        <f t="shared" si="0"/>
        <v>4.5948167739086001</v>
      </c>
      <c r="E12" s="9">
        <v>98.97</v>
      </c>
      <c r="F12">
        <f t="shared" si="3"/>
        <v>9795.0609000000004</v>
      </c>
      <c r="G12">
        <f t="shared" si="1"/>
        <v>969417.17727300001</v>
      </c>
      <c r="H12" s="10">
        <v>4.5464371517373516</v>
      </c>
      <c r="I12">
        <v>96.234999999999999</v>
      </c>
      <c r="J12">
        <v>98.9375</v>
      </c>
      <c r="K12">
        <v>96.655000000000001</v>
      </c>
      <c r="L12">
        <v>93.112499999999997</v>
      </c>
      <c r="M12">
        <f t="shared" si="2"/>
        <v>20.670090774697641</v>
      </c>
      <c r="N12">
        <v>98.9375</v>
      </c>
      <c r="O12" s="10">
        <v>4.5464371517373516</v>
      </c>
      <c r="P12" s="16">
        <v>6.3861064009272379</v>
      </c>
      <c r="Q12" s="10">
        <v>-1.3171630000000001</v>
      </c>
      <c r="R12" s="19">
        <v>510725</v>
      </c>
      <c r="S12">
        <v>13.143587</v>
      </c>
      <c r="T12">
        <v>4.5944880000000001</v>
      </c>
      <c r="U12">
        <v>1.5033609999999999</v>
      </c>
      <c r="V12">
        <v>1.1001529999999999</v>
      </c>
      <c r="W12">
        <v>52594.520832000002</v>
      </c>
      <c r="X12">
        <v>53.906159000000002</v>
      </c>
      <c r="Y12">
        <v>51.775533000000003</v>
      </c>
      <c r="Z12">
        <v>41977.394477000002</v>
      </c>
    </row>
    <row r="13" spans="1:26" ht="15" thickBot="1" x14ac:dyDescent="0.35">
      <c r="A13" s="11">
        <v>2014</v>
      </c>
      <c r="B13" s="12">
        <v>-32296.055820871799</v>
      </c>
      <c r="C13" s="13">
        <v>502858</v>
      </c>
      <c r="D13">
        <f t="shared" si="0"/>
        <v>4.6873030155266138</v>
      </c>
      <c r="E13" s="9">
        <v>108.56</v>
      </c>
      <c r="F13">
        <f t="shared" si="3"/>
        <v>11785.2736</v>
      </c>
      <c r="G13">
        <f t="shared" si="1"/>
        <v>1279409.302016</v>
      </c>
      <c r="H13" s="14">
        <v>5.0568919683944031</v>
      </c>
      <c r="I13">
        <v>104.07749749759</v>
      </c>
      <c r="J13">
        <v>108.85637454514</v>
      </c>
      <c r="K13">
        <v>105.43335233547</v>
      </c>
      <c r="L13">
        <v>97.942765612149998</v>
      </c>
      <c r="M13">
        <f t="shared" si="2"/>
        <v>25.572156380011823</v>
      </c>
      <c r="N13">
        <v>108.85637454514</v>
      </c>
      <c r="O13" s="14">
        <v>5.0568919683944031</v>
      </c>
      <c r="P13" s="17">
        <v>5.4563875516423339</v>
      </c>
      <c r="Q13" s="14">
        <v>-1.7394130000000001</v>
      </c>
      <c r="R13" s="19">
        <v>502858</v>
      </c>
      <c r="S13">
        <v>13.128062999999999</v>
      </c>
      <c r="T13">
        <v>4.690029</v>
      </c>
      <c r="U13">
        <v>1.525177</v>
      </c>
      <c r="V13">
        <v>0.63410999999999995</v>
      </c>
      <c r="W13">
        <v>63701.390799000001</v>
      </c>
      <c r="X13">
        <v>23.783083000000001</v>
      </c>
      <c r="Y13">
        <v>15.859351999999999</v>
      </c>
      <c r="Z13">
        <v>55970.458831000004</v>
      </c>
    </row>
    <row r="14" spans="1:26" ht="15" thickBot="1" x14ac:dyDescent="0.35">
      <c r="A14" s="6">
        <v>2013</v>
      </c>
      <c r="B14" s="7">
        <v>-88162.752893464902</v>
      </c>
      <c r="C14" s="8">
        <v>490190</v>
      </c>
      <c r="D14">
        <f t="shared" si="0"/>
        <v>4.7146521966050887</v>
      </c>
      <c r="E14" s="9">
        <v>111.57</v>
      </c>
      <c r="F14">
        <f t="shared" si="3"/>
        <v>12447.864899999999</v>
      </c>
      <c r="G14">
        <f t="shared" si="1"/>
        <v>1388808.2868929997</v>
      </c>
      <c r="H14" s="10">
        <v>5.6109381434087755</v>
      </c>
      <c r="I14">
        <v>105.00962888488</v>
      </c>
      <c r="J14">
        <v>111.96555833961</v>
      </c>
      <c r="K14">
        <v>108.90444988418</v>
      </c>
      <c r="L14">
        <v>94.158878430840005</v>
      </c>
      <c r="M14">
        <f t="shared" si="2"/>
        <v>31.482626849159516</v>
      </c>
      <c r="N14">
        <v>111.96555833961</v>
      </c>
      <c r="O14" s="10">
        <v>5.6109381434087755</v>
      </c>
      <c r="P14" s="16">
        <v>5.2413142248231805</v>
      </c>
      <c r="Q14" s="10">
        <v>-4.8239320000000001</v>
      </c>
      <c r="R14" s="19">
        <v>490190</v>
      </c>
      <c r="S14">
        <v>13.102548000000001</v>
      </c>
      <c r="T14">
        <v>4.718191</v>
      </c>
      <c r="U14">
        <v>1.513366</v>
      </c>
      <c r="V14">
        <v>0.57793099999999997</v>
      </c>
      <c r="W14">
        <v>57797.980439999999</v>
      </c>
      <c r="X14">
        <v>18.363333000000001</v>
      </c>
      <c r="Y14">
        <v>14.867429</v>
      </c>
      <c r="Z14">
        <v>48434.436277000001</v>
      </c>
    </row>
    <row r="15" spans="1:26" ht="15" thickBot="1" x14ac:dyDescent="0.35">
      <c r="A15" s="11">
        <v>2012</v>
      </c>
      <c r="B15" s="12">
        <v>-78154.993803011006</v>
      </c>
      <c r="C15" s="13">
        <v>515990</v>
      </c>
      <c r="D15">
        <f t="shared" si="0"/>
        <v>4.7118698046471472</v>
      </c>
      <c r="E15" s="9">
        <v>111.26</v>
      </c>
      <c r="F15">
        <f t="shared" si="3"/>
        <v>12378.787600000001</v>
      </c>
      <c r="G15">
        <f t="shared" si="1"/>
        <v>1377263.9083760001</v>
      </c>
      <c r="H15" s="14">
        <v>6.7586860354729774</v>
      </c>
      <c r="I15">
        <v>104.00939752553001</v>
      </c>
      <c r="J15">
        <v>110.93992536389</v>
      </c>
      <c r="K15">
        <v>106.03393828554999</v>
      </c>
      <c r="L15">
        <v>95.054328927140006</v>
      </c>
      <c r="M15">
        <f t="shared" si="2"/>
        <v>45.67983692609743</v>
      </c>
      <c r="N15">
        <v>110.93992536389</v>
      </c>
      <c r="O15" s="14">
        <v>6.7586860354729774</v>
      </c>
      <c r="P15" s="17">
        <v>8.4975868759931608</v>
      </c>
      <c r="Q15" s="14">
        <v>-4.2871750000000004</v>
      </c>
      <c r="R15" s="19">
        <v>515990</v>
      </c>
      <c r="S15">
        <v>13.153843</v>
      </c>
      <c r="T15">
        <v>4.7089889999999999</v>
      </c>
      <c r="U15">
        <v>1.5871839999999999</v>
      </c>
      <c r="V15">
        <v>0.54386699999999999</v>
      </c>
      <c r="W15">
        <v>94490.801284000001</v>
      </c>
      <c r="X15">
        <v>14.664210000000001</v>
      </c>
      <c r="Y15">
        <v>11.964962</v>
      </c>
      <c r="Z15">
        <v>85995.006521000003</v>
      </c>
    </row>
    <row r="16" spans="1:26" ht="15" thickBot="1" x14ac:dyDescent="0.35">
      <c r="A16" s="6">
        <v>2011</v>
      </c>
      <c r="B16" s="7">
        <v>-48052.941751958599</v>
      </c>
      <c r="C16" s="8">
        <v>373591</v>
      </c>
      <c r="D16">
        <f t="shared" si="0"/>
        <v>4.3771397131004868</v>
      </c>
      <c r="E16" s="9">
        <v>79.61</v>
      </c>
      <c r="F16">
        <f t="shared" si="3"/>
        <v>6337.7520999999997</v>
      </c>
      <c r="G16">
        <f t="shared" si="1"/>
        <v>504548.44468099996</v>
      </c>
      <c r="H16" s="10">
        <v>5.8681612233217884</v>
      </c>
      <c r="I16">
        <v>79.040771784719993</v>
      </c>
      <c r="J16">
        <v>79.635629979919997</v>
      </c>
      <c r="K16">
        <v>78.061154819419997</v>
      </c>
      <c r="L16">
        <v>79.425530554809995</v>
      </c>
      <c r="M16">
        <f t="shared" si="2"/>
        <v>34.43531614289747</v>
      </c>
      <c r="N16">
        <v>79.635629979919997</v>
      </c>
      <c r="O16" s="10">
        <v>5.8681612233217884</v>
      </c>
      <c r="P16" s="16">
        <v>7.8618823715500161</v>
      </c>
      <c r="Q16" s="10">
        <v>-2.8678029999999999</v>
      </c>
      <c r="R16" s="19">
        <v>373591</v>
      </c>
      <c r="S16">
        <v>12.830916999999999</v>
      </c>
      <c r="T16">
        <v>4.3774620000000004</v>
      </c>
      <c r="U16">
        <v>1.218977</v>
      </c>
      <c r="V16">
        <v>0.22046399999999999</v>
      </c>
      <c r="W16">
        <v>-70092.819631999999</v>
      </c>
      <c r="X16">
        <v>-15.758176000000001</v>
      </c>
      <c r="Y16">
        <v>-17.913685999999998</v>
      </c>
      <c r="Z16">
        <v>-83982.136327999993</v>
      </c>
    </row>
    <row r="17" spans="1:26" ht="15" thickBot="1" x14ac:dyDescent="0.35">
      <c r="A17" s="11">
        <v>2010</v>
      </c>
      <c r="B17" s="12">
        <v>-38180.513166131903</v>
      </c>
      <c r="C17" s="13">
        <v>418482</v>
      </c>
      <c r="D17">
        <f t="shared" si="0"/>
        <v>4.1229320190740131</v>
      </c>
      <c r="E17" s="9">
        <v>61.74</v>
      </c>
      <c r="F17">
        <f t="shared" si="3"/>
        <v>3811.8276000000001</v>
      </c>
      <c r="G17">
        <f t="shared" si="1"/>
        <v>235342.23602400001</v>
      </c>
      <c r="H17" s="14">
        <v>7.5892353131922299</v>
      </c>
      <c r="I17">
        <v>61.756922215510002</v>
      </c>
      <c r="J17">
        <v>61.86220689033</v>
      </c>
      <c r="K17">
        <v>61.754919756569997</v>
      </c>
      <c r="L17">
        <v>61.653639999619998</v>
      </c>
      <c r="M17">
        <f t="shared" si="2"/>
        <v>57.596492639003962</v>
      </c>
      <c r="N17">
        <v>61.86220689033</v>
      </c>
      <c r="O17" s="14">
        <v>7.5892353131922299</v>
      </c>
      <c r="P17" s="17">
        <v>3.0866993740887052</v>
      </c>
      <c r="Q17" s="14">
        <v>-2.8452639999999998</v>
      </c>
      <c r="R17" s="19">
        <v>418482</v>
      </c>
      <c r="S17">
        <v>12.944388999999999</v>
      </c>
      <c r="T17">
        <v>4.1249089999999997</v>
      </c>
      <c r="U17">
        <v>1.617521</v>
      </c>
      <c r="V17">
        <v>0.260577</v>
      </c>
      <c r="W17">
        <v>97242.670050999994</v>
      </c>
      <c r="X17">
        <v>-6.6140049999999997</v>
      </c>
      <c r="Y17">
        <v>-4.2976919999999996</v>
      </c>
      <c r="Z17">
        <v>107545.698036</v>
      </c>
    </row>
    <row r="18" spans="1:26" ht="15" thickBot="1" x14ac:dyDescent="0.35">
      <c r="A18" s="6">
        <v>2009</v>
      </c>
      <c r="B18" s="7">
        <v>-27914.495035254899</v>
      </c>
      <c r="C18" s="8">
        <v>336992</v>
      </c>
      <c r="D18">
        <f t="shared" si="0"/>
        <v>4.5740922304172296</v>
      </c>
      <c r="E18" s="9">
        <v>96.94</v>
      </c>
      <c r="F18">
        <f t="shared" si="3"/>
        <v>9397.3635999999988</v>
      </c>
      <c r="G18">
        <f t="shared" si="1"/>
        <v>910980.42738399981</v>
      </c>
      <c r="H18" s="10">
        <v>6.8792661330267206</v>
      </c>
      <c r="I18">
        <v>96.990453758460006</v>
      </c>
      <c r="J18">
        <v>97.636484181879993</v>
      </c>
      <c r="K18">
        <v>93.777133466080002</v>
      </c>
      <c r="L18">
        <v>99.55774362743</v>
      </c>
      <c r="M18">
        <f t="shared" si="2"/>
        <v>47.324302529008413</v>
      </c>
      <c r="N18">
        <v>97.636484181879993</v>
      </c>
      <c r="O18" s="10">
        <v>6.8792661330267206</v>
      </c>
      <c r="P18" s="16">
        <v>7.6608241575560818</v>
      </c>
      <c r="Q18" s="10">
        <v>-2.328335</v>
      </c>
      <c r="R18" s="19">
        <v>336992</v>
      </c>
      <c r="S18">
        <v>12.727814</v>
      </c>
      <c r="T18">
        <v>4.581251</v>
      </c>
      <c r="U18">
        <v>1.3007759999999999</v>
      </c>
      <c r="V18">
        <v>0.93986700000000001</v>
      </c>
      <c r="W18">
        <v>-22847.710474</v>
      </c>
      <c r="X18">
        <v>44.443088000000003</v>
      </c>
      <c r="Y18">
        <v>45.415289000000001</v>
      </c>
      <c r="Z18">
        <v>-37141.527674999998</v>
      </c>
    </row>
    <row r="19" spans="1:26" ht="15" thickBot="1" x14ac:dyDescent="0.35">
      <c r="A19" s="11">
        <v>2008</v>
      </c>
      <c r="B19" s="12">
        <v>-15738</v>
      </c>
      <c r="C19" s="13">
        <v>126912</v>
      </c>
      <c r="D19">
        <f t="shared" si="0"/>
        <v>4.282758633015213</v>
      </c>
      <c r="E19" s="9">
        <v>72.44</v>
      </c>
      <c r="F19">
        <f t="shared" si="3"/>
        <v>5247.5535999999993</v>
      </c>
      <c r="G19">
        <f t="shared" si="1"/>
        <v>380132.78278399992</v>
      </c>
      <c r="H19" s="14">
        <v>2.9829157955633767</v>
      </c>
      <c r="I19">
        <v>71.116559010060001</v>
      </c>
      <c r="J19">
        <v>72.696170525949995</v>
      </c>
      <c r="K19">
        <v>68.369053899159994</v>
      </c>
      <c r="L19">
        <v>72.284452605080006</v>
      </c>
      <c r="M19">
        <f t="shared" si="2"/>
        <v>8.8977866434214921</v>
      </c>
      <c r="N19">
        <v>72.696170525949995</v>
      </c>
      <c r="O19" s="14">
        <v>2.9829157955633767</v>
      </c>
      <c r="P19" s="17">
        <v>8.0607288996374074</v>
      </c>
      <c r="Q19" s="14">
        <v>-1.2934600000000001</v>
      </c>
      <c r="R19" s="19">
        <v>126912</v>
      </c>
      <c r="S19">
        <v>11.751249</v>
      </c>
      <c r="T19">
        <v>4.286289</v>
      </c>
      <c r="U19">
        <v>0.51539800000000002</v>
      </c>
      <c r="V19">
        <v>0.24205499999999999</v>
      </c>
      <c r="W19">
        <v>-162856.98340200001</v>
      </c>
      <c r="X19">
        <v>-11.258418000000001</v>
      </c>
      <c r="Y19">
        <v>-17.791160999999999</v>
      </c>
      <c r="Z19">
        <v>-159498.57091899999</v>
      </c>
    </row>
    <row r="20" spans="1:26" ht="15" thickBot="1" x14ac:dyDescent="0.35">
      <c r="A20" s="6">
        <v>2007</v>
      </c>
      <c r="B20" s="7">
        <v>-9565</v>
      </c>
      <c r="C20" s="8">
        <v>142573</v>
      </c>
      <c r="D20">
        <f t="shared" si="0"/>
        <v>4.1768457837338442</v>
      </c>
      <c r="E20" s="9">
        <v>65.16</v>
      </c>
      <c r="F20">
        <f t="shared" si="3"/>
        <v>4245.8255999999992</v>
      </c>
      <c r="G20">
        <f t="shared" si="1"/>
        <v>276657.99609599996</v>
      </c>
      <c r="H20" s="10">
        <v>3.9253333329151858</v>
      </c>
      <c r="I20">
        <v>64.288259140199997</v>
      </c>
      <c r="J20">
        <v>65.391381220669999</v>
      </c>
      <c r="K20">
        <v>61.430812003660002</v>
      </c>
      <c r="L20">
        <v>66.042584196269999</v>
      </c>
      <c r="M20">
        <f t="shared" si="2"/>
        <v>15.408241774495041</v>
      </c>
      <c r="N20">
        <v>65.391381220669999</v>
      </c>
      <c r="O20" s="10">
        <v>3.9253333329151858</v>
      </c>
      <c r="P20" s="16">
        <v>7.9234286673551839</v>
      </c>
      <c r="Q20" s="10">
        <v>-1.017272</v>
      </c>
      <c r="R20" s="19">
        <v>142573</v>
      </c>
      <c r="S20">
        <v>11.867609</v>
      </c>
      <c r="T20">
        <v>4.1803900000000001</v>
      </c>
      <c r="U20">
        <v>1.4938499999999999</v>
      </c>
      <c r="V20">
        <v>0.39654400000000001</v>
      </c>
      <c r="W20">
        <v>33445.301949000001</v>
      </c>
      <c r="X20">
        <v>2.882196</v>
      </c>
      <c r="Y20">
        <v>4.5370840000000001</v>
      </c>
      <c r="Z20">
        <v>57383.846103000003</v>
      </c>
    </row>
    <row r="21" spans="1:26" ht="15" thickBot="1" x14ac:dyDescent="0.35">
      <c r="A21" s="11">
        <v>2006</v>
      </c>
      <c r="B21" s="12">
        <v>-9902</v>
      </c>
      <c r="C21" s="13">
        <v>146435</v>
      </c>
      <c r="D21">
        <f t="shared" si="0"/>
        <v>3.9994842811981406</v>
      </c>
      <c r="E21" s="9">
        <v>54.57</v>
      </c>
      <c r="F21">
        <f t="shared" si="3"/>
        <v>2977.8849</v>
      </c>
      <c r="G21">
        <f t="shared" si="1"/>
        <v>162503.17899300001</v>
      </c>
      <c r="H21" s="14">
        <v>4.5957233428413256</v>
      </c>
      <c r="I21">
        <v>53.391024596789997</v>
      </c>
      <c r="J21">
        <v>54.43413041126</v>
      </c>
      <c r="K21">
        <v>49.294158910530001</v>
      </c>
      <c r="L21">
        <v>56.444784468580004</v>
      </c>
      <c r="M21">
        <f t="shared" si="2"/>
        <v>21.120673043936648</v>
      </c>
      <c r="N21">
        <v>54.43413041126</v>
      </c>
      <c r="O21" s="14">
        <v>4.5957233428413256</v>
      </c>
      <c r="P21" s="17">
        <v>7.9229380729595036</v>
      </c>
      <c r="Q21" s="14">
        <v>-1.206996</v>
      </c>
      <c r="R21" s="19">
        <v>146435</v>
      </c>
      <c r="S21">
        <v>11.894337</v>
      </c>
      <c r="T21">
        <v>3.996991</v>
      </c>
      <c r="U21">
        <v>1.4178569999999999</v>
      </c>
      <c r="V21">
        <v>0.30662899999999998</v>
      </c>
      <c r="W21">
        <v>23840.893106</v>
      </c>
      <c r="X21">
        <v>-1.793893</v>
      </c>
      <c r="Y21">
        <v>-2.2175500000000001</v>
      </c>
      <c r="Z21">
        <v>18924.727887000001</v>
      </c>
    </row>
    <row r="22" spans="1:26" ht="15" thickBot="1" x14ac:dyDescent="0.35">
      <c r="A22" s="6">
        <v>2005</v>
      </c>
      <c r="B22" s="7">
        <v>-2470</v>
      </c>
      <c r="C22" s="8">
        <v>125794</v>
      </c>
      <c r="D22">
        <f t="shared" si="0"/>
        <v>3.6444049640121068</v>
      </c>
      <c r="E22" s="9">
        <v>38.26</v>
      </c>
      <c r="F22">
        <f t="shared" si="3"/>
        <v>1463.8275999999998</v>
      </c>
      <c r="G22">
        <f t="shared" si="1"/>
        <v>56006.043975999994</v>
      </c>
      <c r="H22" s="10">
        <v>4.5046604201516409</v>
      </c>
      <c r="I22">
        <v>37.733387703040002</v>
      </c>
      <c r="J22">
        <v>38.300679681749997</v>
      </c>
      <c r="K22">
        <v>33.455866083190003</v>
      </c>
      <c r="L22">
        <v>41.443617344170001</v>
      </c>
      <c r="M22">
        <f t="shared" si="2"/>
        <v>20.291965500880757</v>
      </c>
      <c r="N22">
        <v>38.300679681749997</v>
      </c>
      <c r="O22" s="10">
        <v>4.5046604201516409</v>
      </c>
      <c r="P22" s="16">
        <v>7.8603814754476087</v>
      </c>
      <c r="Q22" s="10">
        <v>-0.34830299999999997</v>
      </c>
      <c r="R22" s="19">
        <v>125794</v>
      </c>
      <c r="S22">
        <v>11.742400999999999</v>
      </c>
      <c r="T22">
        <v>3.6454680000000002</v>
      </c>
      <c r="U22">
        <v>1.242327</v>
      </c>
      <c r="V22">
        <v>0.117006</v>
      </c>
      <c r="W22">
        <v>-120.92108</v>
      </c>
      <c r="X22">
        <v>-8.5055429999999994</v>
      </c>
      <c r="Y22">
        <v>-8.2418569999999995</v>
      </c>
      <c r="Z22">
        <v>-3625.322674</v>
      </c>
    </row>
    <row r="23" spans="1:26" ht="15" thickBot="1" x14ac:dyDescent="0.35">
      <c r="A23" s="11">
        <v>2004</v>
      </c>
      <c r="B23" s="12">
        <v>14083</v>
      </c>
      <c r="C23" s="13">
        <v>123273</v>
      </c>
      <c r="D23">
        <f t="shared" si="0"/>
        <v>3.3621099929541085</v>
      </c>
      <c r="E23" s="9">
        <v>28.85</v>
      </c>
      <c r="F23">
        <f t="shared" si="3"/>
        <v>832.3225000000001</v>
      </c>
      <c r="G23">
        <f t="shared" si="1"/>
        <v>24012.504125000003</v>
      </c>
      <c r="H23" s="14">
        <v>4.9455315042208507</v>
      </c>
      <c r="I23">
        <v>28.898903189479999</v>
      </c>
      <c r="J23">
        <v>28.851390582850001</v>
      </c>
      <c r="K23">
        <v>26.738140786750002</v>
      </c>
      <c r="L23">
        <v>31.107178198850001</v>
      </c>
      <c r="M23">
        <f t="shared" si="2"/>
        <v>24.458281859240952</v>
      </c>
      <c r="N23">
        <v>28.851390582850001</v>
      </c>
      <c r="O23" s="14">
        <v>4.9455315042208507</v>
      </c>
      <c r="P23" s="17">
        <v>3.8039753212842529</v>
      </c>
      <c r="Q23" s="14">
        <v>2.31738</v>
      </c>
      <c r="R23" s="19">
        <v>123273</v>
      </c>
      <c r="S23">
        <v>11.722156999999999</v>
      </c>
      <c r="T23">
        <v>3.362158</v>
      </c>
      <c r="U23">
        <v>1.3562080000000001</v>
      </c>
      <c r="V23">
        <v>0.144015</v>
      </c>
      <c r="W23">
        <v>15106.635522</v>
      </c>
      <c r="X23">
        <v>-4.0821779999999999</v>
      </c>
      <c r="Y23">
        <v>-2.8319380000000001</v>
      </c>
      <c r="Z23">
        <v>15124.409857000001</v>
      </c>
    </row>
    <row r="24" spans="1:26" ht="15" thickBot="1" x14ac:dyDescent="0.35">
      <c r="A24" s="6">
        <v>2003</v>
      </c>
      <c r="B24" s="7">
        <v>6345</v>
      </c>
      <c r="C24" s="8">
        <v>145072</v>
      </c>
      <c r="D24">
        <f t="shared" si="0"/>
        <v>3.2184757448468608</v>
      </c>
      <c r="E24" s="9">
        <v>24.99</v>
      </c>
      <c r="F24">
        <f t="shared" si="3"/>
        <v>624.50009999999997</v>
      </c>
      <c r="G24">
        <f t="shared" si="1"/>
        <v>15606.257498999998</v>
      </c>
      <c r="H24" s="10">
        <v>6.2659514654846387</v>
      </c>
      <c r="I24">
        <v>24.927748381810002</v>
      </c>
      <c r="J24">
        <v>24.96947770777</v>
      </c>
      <c r="K24">
        <v>23.720599935140001</v>
      </c>
      <c r="L24">
        <v>26.093167502499998</v>
      </c>
      <c r="M24">
        <f t="shared" si="2"/>
        <v>39.26214776780909</v>
      </c>
      <c r="N24">
        <v>24.96947770777</v>
      </c>
      <c r="O24" s="10">
        <v>6.2659514654846387</v>
      </c>
      <c r="P24" s="16">
        <v>4.8239662639746417</v>
      </c>
      <c r="Q24" s="10">
        <v>1.2319100000000001</v>
      </c>
      <c r="R24" s="19">
        <v>145072</v>
      </c>
      <c r="S24">
        <v>11.884985</v>
      </c>
      <c r="T24">
        <v>3.217654</v>
      </c>
      <c r="U24">
        <v>1.5369079999999999</v>
      </c>
      <c r="V24">
        <v>0.249611</v>
      </c>
      <c r="W24">
        <v>39073.365340999997</v>
      </c>
      <c r="X24">
        <v>0.16106100000000001</v>
      </c>
      <c r="Y24">
        <v>0.76110500000000003</v>
      </c>
      <c r="Z24">
        <v>36852.822788999998</v>
      </c>
    </row>
    <row r="25" spans="1:26" ht="15" thickBot="1" x14ac:dyDescent="0.35">
      <c r="A25" s="11">
        <v>2002</v>
      </c>
      <c r="B25" s="12">
        <v>3400</v>
      </c>
      <c r="C25" s="13">
        <v>140955</v>
      </c>
      <c r="D25">
        <f t="shared" si="0"/>
        <v>3.1970391302590264</v>
      </c>
      <c r="E25" s="9">
        <v>24.46</v>
      </c>
      <c r="F25">
        <f t="shared" si="3"/>
        <v>598.29160000000002</v>
      </c>
      <c r="G25">
        <f t="shared" si="1"/>
        <v>14634.212536000001</v>
      </c>
      <c r="H25" s="14">
        <v>6.58703409331972</v>
      </c>
      <c r="I25">
        <v>24.351825004289999</v>
      </c>
      <c r="J25">
        <v>24.421571535889999</v>
      </c>
      <c r="K25">
        <v>22.714820589430001</v>
      </c>
      <c r="L25">
        <v>25.919082887550001</v>
      </c>
      <c r="M25">
        <f t="shared" si="2"/>
        <v>43.389018146556346</v>
      </c>
      <c r="N25">
        <v>24.421571535889999</v>
      </c>
      <c r="O25" s="14">
        <v>6.58703409331972</v>
      </c>
      <c r="P25" s="17">
        <v>3.8409911569116022</v>
      </c>
      <c r="Q25" s="14">
        <v>0.70037000000000005</v>
      </c>
      <c r="R25" s="19">
        <v>140955</v>
      </c>
      <c r="S25">
        <v>11.856196000000001</v>
      </c>
      <c r="T25">
        <v>3.1954669999999998</v>
      </c>
      <c r="U25">
        <v>1.364377</v>
      </c>
      <c r="V25">
        <v>0.35498800000000003</v>
      </c>
      <c r="W25">
        <v>16212.080405000001</v>
      </c>
      <c r="X25">
        <v>2.9510909999999999</v>
      </c>
      <c r="Y25">
        <v>2.927416</v>
      </c>
      <c r="Z25">
        <v>10468.639369</v>
      </c>
    </row>
    <row r="26" spans="1:26" ht="15" thickBot="1" x14ac:dyDescent="0.35">
      <c r="A26" s="6">
        <v>2001</v>
      </c>
      <c r="B26" s="7">
        <v>-2666</v>
      </c>
      <c r="C26" s="8">
        <v>118816</v>
      </c>
      <c r="D26">
        <f t="shared" si="0"/>
        <v>3.3555024224000256</v>
      </c>
      <c r="E26" s="9">
        <v>28.66</v>
      </c>
      <c r="F26">
        <f t="shared" si="3"/>
        <v>821.39560000000006</v>
      </c>
      <c r="G26">
        <f t="shared" si="1"/>
        <v>23541.197896000001</v>
      </c>
      <c r="H26" s="10">
        <v>5.9758736787745281</v>
      </c>
      <c r="I26">
        <v>28.229719444440001</v>
      </c>
      <c r="J26">
        <v>28.272915909089999</v>
      </c>
      <c r="K26">
        <v>26.084117424239999</v>
      </c>
      <c r="L26">
        <v>30.332125000000001</v>
      </c>
      <c r="M26">
        <f t="shared" si="2"/>
        <v>35.711066224670212</v>
      </c>
      <c r="N26">
        <v>28.272915909089999</v>
      </c>
      <c r="O26" s="10">
        <v>5.9758736787745281</v>
      </c>
      <c r="P26" s="16">
        <v>8.8457555610904635</v>
      </c>
      <c r="Q26" s="10">
        <v>-0.56916</v>
      </c>
      <c r="R26" s="19">
        <v>118816</v>
      </c>
      <c r="S26">
        <v>11.685331</v>
      </c>
      <c r="T26">
        <v>3.341904</v>
      </c>
      <c r="U26">
        <v>1.2189270000000001</v>
      </c>
      <c r="V26">
        <v>0.52101200000000003</v>
      </c>
      <c r="W26">
        <v>-2386.8388070000001</v>
      </c>
      <c r="X26">
        <v>7.2735630000000002</v>
      </c>
      <c r="Y26">
        <v>6.8397790000000001</v>
      </c>
      <c r="Z26">
        <v>-4769.8720329999996</v>
      </c>
    </row>
    <row r="27" spans="1:26" ht="15" thickBot="1" x14ac:dyDescent="0.35">
      <c r="A27" s="11">
        <v>2000</v>
      </c>
      <c r="B27" s="12">
        <v>-4698</v>
      </c>
      <c r="C27" s="13">
        <v>104716</v>
      </c>
      <c r="D27">
        <f t="shared" si="0"/>
        <v>2.884800712846709</v>
      </c>
      <c r="E27" s="9">
        <v>17.899999999999999</v>
      </c>
      <c r="F27">
        <f t="shared" si="3"/>
        <v>320.40999999999997</v>
      </c>
      <c r="G27">
        <f t="shared" si="1"/>
        <v>5735.338999999999</v>
      </c>
      <c r="H27" s="14">
        <v>5.9084904678967654</v>
      </c>
      <c r="I27">
        <v>18.071388888889999</v>
      </c>
      <c r="J27">
        <v>17.808333333330001</v>
      </c>
      <c r="K27">
        <v>17.164999999999999</v>
      </c>
      <c r="L27">
        <v>19.240833333329999</v>
      </c>
      <c r="M27">
        <f t="shared" si="2"/>
        <v>34.910259609226934</v>
      </c>
      <c r="N27">
        <v>17.808333333330001</v>
      </c>
      <c r="O27" s="14">
        <v>5.9084904678967654</v>
      </c>
      <c r="P27" s="17">
        <v>6.1844158207068771</v>
      </c>
      <c r="Q27" s="14">
        <v>-1.02389</v>
      </c>
      <c r="R27" s="19">
        <v>104716</v>
      </c>
      <c r="S27">
        <v>11.559006999999999</v>
      </c>
      <c r="T27">
        <v>2.879667</v>
      </c>
      <c r="U27">
        <v>1.243439</v>
      </c>
      <c r="V27">
        <v>-7.0497000000000004E-2</v>
      </c>
      <c r="W27">
        <v>2549.801598</v>
      </c>
      <c r="X27">
        <v>-6.5026710000000003</v>
      </c>
      <c r="Y27">
        <v>-7.5718209999999999</v>
      </c>
      <c r="Z27">
        <v>2900.6459089999998</v>
      </c>
    </row>
    <row r="28" spans="1:26" ht="15" thickBot="1" x14ac:dyDescent="0.35">
      <c r="A28" s="6">
        <v>1999</v>
      </c>
      <c r="B28" s="7">
        <v>-4038</v>
      </c>
      <c r="C28" s="8">
        <v>113349</v>
      </c>
      <c r="D28">
        <f t="shared" si="0"/>
        <v>2.5463152779166438</v>
      </c>
      <c r="E28" s="9">
        <v>12.76</v>
      </c>
      <c r="F28">
        <f t="shared" si="3"/>
        <v>162.8176</v>
      </c>
      <c r="G28">
        <f t="shared" si="1"/>
        <v>2077.552576</v>
      </c>
      <c r="H28" s="10">
        <v>7.3351096365467496</v>
      </c>
      <c r="I28">
        <v>13.06444166667</v>
      </c>
      <c r="J28">
        <v>12.71654166667</v>
      </c>
      <c r="K28">
        <v>12.12758333333</v>
      </c>
      <c r="L28">
        <v>14.3492</v>
      </c>
      <c r="M28">
        <f t="shared" si="2"/>
        <v>53.803833380160988</v>
      </c>
      <c r="N28">
        <v>12.71654166667</v>
      </c>
      <c r="O28" s="10">
        <v>7.3351096365467496</v>
      </c>
      <c r="P28" s="16">
        <v>4.0498208490890839</v>
      </c>
      <c r="Q28" s="10">
        <v>-0.95853999999999995</v>
      </c>
      <c r="R28" s="19">
        <v>113349</v>
      </c>
      <c r="S28">
        <v>11.638227000000001</v>
      </c>
      <c r="T28">
        <v>2.5429040000000001</v>
      </c>
      <c r="U28">
        <v>1.434175</v>
      </c>
      <c r="V28">
        <v>7.94E-4</v>
      </c>
      <c r="W28">
        <v>23306.954889000001</v>
      </c>
      <c r="X28">
        <v>-2.5962930000000002</v>
      </c>
      <c r="Y28">
        <v>-1.640458</v>
      </c>
      <c r="Z28">
        <v>22932.156481000002</v>
      </c>
    </row>
    <row r="29" spans="1:26" ht="15" thickBot="1" x14ac:dyDescent="0.35">
      <c r="A29" s="11">
        <v>1998</v>
      </c>
      <c r="B29" s="12">
        <v>-5499</v>
      </c>
      <c r="C29" s="13">
        <v>88937</v>
      </c>
      <c r="D29">
        <f t="shared" si="0"/>
        <v>2.9502117582521818</v>
      </c>
      <c r="E29" s="9">
        <v>19.11</v>
      </c>
      <c r="F29">
        <f t="shared" si="3"/>
        <v>365.19209999999998</v>
      </c>
      <c r="G29">
        <f t="shared" si="1"/>
        <v>6978.8210309999995</v>
      </c>
      <c r="H29" s="14">
        <v>6.3762533275448758</v>
      </c>
      <c r="I29">
        <v>19.171042724869999</v>
      </c>
      <c r="J29">
        <v>19.090208333330001</v>
      </c>
      <c r="K29">
        <v>18.097083333330001</v>
      </c>
      <c r="L29">
        <v>20.32583650794</v>
      </c>
      <c r="M29">
        <f t="shared" si="2"/>
        <v>40.656606497027099</v>
      </c>
      <c r="N29">
        <v>19.090208333330001</v>
      </c>
      <c r="O29" s="14">
        <v>6.3762533275448758</v>
      </c>
      <c r="P29" s="17">
        <v>7.5495222488461629</v>
      </c>
      <c r="Q29" s="14">
        <v>-1.32253</v>
      </c>
      <c r="R29" s="19">
        <v>88937</v>
      </c>
      <c r="S29">
        <v>11.395683999999999</v>
      </c>
      <c r="T29">
        <v>2.949176</v>
      </c>
      <c r="U29">
        <v>1.1216980000000001</v>
      </c>
      <c r="V29">
        <v>0.70435300000000001</v>
      </c>
      <c r="W29">
        <v>-8528.2944270000007</v>
      </c>
      <c r="X29">
        <v>8.1556479999999993</v>
      </c>
      <c r="Y29">
        <v>8.5372800000000009</v>
      </c>
      <c r="Z29">
        <v>-11954.211799999999</v>
      </c>
    </row>
    <row r="30" spans="1:26" ht="15" thickBot="1" x14ac:dyDescent="0.35">
      <c r="A30" s="6">
        <v>1997</v>
      </c>
      <c r="B30" s="7">
        <v>-4619</v>
      </c>
      <c r="C30" s="8">
        <v>66733</v>
      </c>
      <c r="D30">
        <f t="shared" si="0"/>
        <v>3.0272309406133622</v>
      </c>
      <c r="E30" s="9">
        <v>20.64</v>
      </c>
      <c r="F30">
        <f t="shared" si="3"/>
        <v>426.00960000000003</v>
      </c>
      <c r="G30">
        <f t="shared" si="1"/>
        <v>8792.8381440000012</v>
      </c>
      <c r="H30" s="10">
        <v>5.5353316979783473</v>
      </c>
      <c r="I30">
        <v>20.420000000000002</v>
      </c>
      <c r="J30">
        <v>20.65</v>
      </c>
      <c r="K30">
        <v>18.54</v>
      </c>
      <c r="L30">
        <v>22.07</v>
      </c>
      <c r="M30">
        <f t="shared" si="2"/>
        <v>30.639897006643853</v>
      </c>
      <c r="N30">
        <v>20.65</v>
      </c>
      <c r="O30" s="10">
        <v>5.5353316979783473</v>
      </c>
      <c r="P30" s="16">
        <v>7.5744918403546624</v>
      </c>
      <c r="Q30" s="10">
        <v>-1.1756</v>
      </c>
      <c r="R30" s="19">
        <v>66733</v>
      </c>
      <c r="S30">
        <v>11.108454999999999</v>
      </c>
      <c r="T30">
        <v>3.0277150000000002</v>
      </c>
      <c r="U30">
        <v>1.048581</v>
      </c>
      <c r="V30">
        <v>0.42424400000000001</v>
      </c>
      <c r="W30">
        <v>-9741.1717219999991</v>
      </c>
      <c r="X30">
        <v>4.2349209999999999</v>
      </c>
      <c r="Y30">
        <v>3.0361120000000001</v>
      </c>
      <c r="Z30">
        <v>-8487.5874519999998</v>
      </c>
    </row>
    <row r="31" spans="1:26" ht="15" thickBot="1" x14ac:dyDescent="0.35">
      <c r="A31" s="11">
        <v>1996</v>
      </c>
      <c r="B31" s="12">
        <v>-5912</v>
      </c>
      <c r="C31" s="13">
        <v>60243</v>
      </c>
      <c r="D31">
        <f t="shared" si="0"/>
        <v>2.8343891231452281</v>
      </c>
      <c r="E31" s="9">
        <v>17.02</v>
      </c>
      <c r="F31">
        <f t="shared" si="3"/>
        <v>289.68039999999996</v>
      </c>
      <c r="G31">
        <f t="shared" si="1"/>
        <v>4930.3604079999996</v>
      </c>
      <c r="H31" s="14">
        <v>5.8626659541855144</v>
      </c>
      <c r="I31">
        <v>17.183333333330001</v>
      </c>
      <c r="J31">
        <v>17.065833333330001</v>
      </c>
      <c r="K31">
        <v>16.114999999999998</v>
      </c>
      <c r="L31">
        <v>18.369166666670001</v>
      </c>
      <c r="M31">
        <f t="shared" si="2"/>
        <v>34.37085209036595</v>
      </c>
      <c r="N31">
        <v>17.065833333330001</v>
      </c>
      <c r="O31" s="14">
        <v>5.8626659541855144</v>
      </c>
      <c r="P31" s="17">
        <v>6.6589240673378676</v>
      </c>
      <c r="Q31" s="14">
        <v>-1.6403300000000001</v>
      </c>
      <c r="R31" s="19">
        <v>60243</v>
      </c>
      <c r="S31">
        <v>11.006142000000001</v>
      </c>
      <c r="T31">
        <v>2.837078</v>
      </c>
      <c r="U31">
        <v>1.1998279999999999</v>
      </c>
      <c r="V31">
        <v>0.164274</v>
      </c>
      <c r="W31">
        <v>2861.3601709999998</v>
      </c>
      <c r="X31">
        <v>-0.69046200000000002</v>
      </c>
      <c r="Y31">
        <v>-1.3129580000000001</v>
      </c>
      <c r="Z31">
        <v>4293.2267359999996</v>
      </c>
    </row>
    <row r="32" spans="1:26" ht="15" thickBot="1" x14ac:dyDescent="0.35">
      <c r="A32" s="6">
        <v>1995</v>
      </c>
      <c r="B32" s="7">
        <v>-3369</v>
      </c>
      <c r="C32" s="8">
        <v>57703</v>
      </c>
      <c r="D32">
        <f t="shared" si="0"/>
        <v>2.7638002162067017</v>
      </c>
      <c r="E32" s="9">
        <v>15.86</v>
      </c>
      <c r="F32">
        <f t="shared" si="3"/>
        <v>251.53959999999998</v>
      </c>
      <c r="G32">
        <f t="shared" si="1"/>
        <v>3989.4180559999995</v>
      </c>
      <c r="H32" s="10">
        <v>6.5871574146507506</v>
      </c>
      <c r="I32">
        <v>15.886666666669999</v>
      </c>
      <c r="J32">
        <v>15.83</v>
      </c>
      <c r="K32">
        <v>14.66666666667</v>
      </c>
      <c r="L32">
        <v>17.163333333330002</v>
      </c>
      <c r="M32">
        <f t="shared" si="2"/>
        <v>43.39064280538836</v>
      </c>
      <c r="N32">
        <v>15.83</v>
      </c>
      <c r="O32" s="10">
        <v>6.5871574146507506</v>
      </c>
      <c r="P32" s="16">
        <v>4.7507762196896657</v>
      </c>
      <c r="Q32" s="10">
        <v>-1.0294399999999999</v>
      </c>
      <c r="R32" s="19">
        <v>57703</v>
      </c>
      <c r="S32">
        <v>10.963063999999999</v>
      </c>
      <c r="T32">
        <v>2.7619069999999999</v>
      </c>
      <c r="U32">
        <v>1.2470699999999999</v>
      </c>
      <c r="V32">
        <v>0.25739299999999998</v>
      </c>
      <c r="W32">
        <v>5901.9101609999998</v>
      </c>
      <c r="X32">
        <v>1.155618</v>
      </c>
      <c r="Y32">
        <v>1.2571099999999999</v>
      </c>
      <c r="Z32">
        <v>5481.3153830000001</v>
      </c>
    </row>
    <row r="33" spans="1:26" ht="15" thickBot="1" x14ac:dyDescent="0.35">
      <c r="A33" s="11">
        <v>1994</v>
      </c>
      <c r="B33" s="12">
        <v>-1159</v>
      </c>
      <c r="C33" s="13">
        <v>60257</v>
      </c>
      <c r="D33">
        <f t="shared" si="0"/>
        <v>2.8338014064077703</v>
      </c>
      <c r="E33" s="9">
        <v>17.010000000000002</v>
      </c>
      <c r="F33">
        <f t="shared" si="3"/>
        <v>289.34010000000006</v>
      </c>
      <c r="G33">
        <f t="shared" si="1"/>
        <v>4921.6751010000016</v>
      </c>
      <c r="H33" s="14">
        <v>7.9160959074724131</v>
      </c>
      <c r="I33">
        <v>16.841666666670001</v>
      </c>
      <c r="J33">
        <v>17.02083333333</v>
      </c>
      <c r="K33">
        <v>14.941666666670001</v>
      </c>
      <c r="L33">
        <v>18.5625</v>
      </c>
      <c r="M33">
        <f t="shared" si="2"/>
        <v>62.664574416301484</v>
      </c>
      <c r="N33">
        <v>17.02083333333</v>
      </c>
      <c r="O33" s="14">
        <v>7.9160959074724131</v>
      </c>
      <c r="P33" s="17">
        <v>5.482396021545922</v>
      </c>
      <c r="Q33" s="14">
        <v>-0.41499000000000003</v>
      </c>
      <c r="R33" s="19">
        <v>60257</v>
      </c>
      <c r="S33">
        <v>11.006373999999999</v>
      </c>
      <c r="T33">
        <v>2.834438</v>
      </c>
      <c r="U33">
        <v>1.328408</v>
      </c>
      <c r="V33">
        <v>0.39628400000000003</v>
      </c>
      <c r="W33">
        <v>10639.977491</v>
      </c>
      <c r="X33">
        <v>3.4091070000000001</v>
      </c>
      <c r="Y33">
        <v>3.2392409999999998</v>
      </c>
      <c r="Z33">
        <v>9772.4486080000006</v>
      </c>
    </row>
    <row r="34" spans="1:26" ht="15" thickBot="1" x14ac:dyDescent="0.35">
      <c r="A34" s="6">
        <v>1993</v>
      </c>
      <c r="B34" s="7">
        <v>-3526</v>
      </c>
      <c r="C34" s="8">
        <v>40173</v>
      </c>
      <c r="D34">
        <f t="shared" si="0"/>
        <v>2.9611408287843721</v>
      </c>
      <c r="E34" s="9">
        <v>19.32</v>
      </c>
      <c r="F34">
        <f t="shared" si="3"/>
        <v>373.26240000000001</v>
      </c>
      <c r="G34">
        <f t="shared" si="1"/>
        <v>7211.4295680000005</v>
      </c>
      <c r="H34" s="10">
        <v>6.0660421387762868</v>
      </c>
      <c r="I34">
        <v>19.02083333333</v>
      </c>
      <c r="J34">
        <v>19.3125</v>
      </c>
      <c r="K34">
        <v>17.1875</v>
      </c>
      <c r="L34">
        <v>20.5625</v>
      </c>
      <c r="M34">
        <f t="shared" ref="M34:M56" si="4">H34*H34</f>
        <v>36.796867229409585</v>
      </c>
      <c r="N34">
        <v>19.3125</v>
      </c>
      <c r="O34" s="10">
        <v>6.0660421387762868</v>
      </c>
      <c r="P34" s="16">
        <v>1.0568314330471067</v>
      </c>
      <c r="Q34" s="10">
        <v>-1.41971</v>
      </c>
      <c r="R34" s="19">
        <v>40173</v>
      </c>
      <c r="S34">
        <v>10.600949999999999</v>
      </c>
      <c r="T34">
        <v>2.960753</v>
      </c>
      <c r="U34">
        <v>0.88475099999999995</v>
      </c>
      <c r="V34">
        <v>0.458569</v>
      </c>
      <c r="W34">
        <v>-11640.128006000001</v>
      </c>
      <c r="X34">
        <v>4.6768130000000001</v>
      </c>
      <c r="Y34">
        <v>4.1757039999999996</v>
      </c>
      <c r="Z34">
        <v>-13204.111113000001</v>
      </c>
    </row>
    <row r="35" spans="1:26" ht="15" thickBot="1" x14ac:dyDescent="0.35">
      <c r="A35" s="11">
        <v>1992</v>
      </c>
      <c r="B35" s="12">
        <v>-1178</v>
      </c>
      <c r="C35" s="13">
        <v>36325</v>
      </c>
      <c r="D35">
        <f t="shared" si="0"/>
        <v>2.997730276216664</v>
      </c>
      <c r="E35" s="9">
        <v>20.04</v>
      </c>
      <c r="F35">
        <f t="shared" si="3"/>
        <v>401.60159999999996</v>
      </c>
      <c r="G35">
        <f t="shared" si="1"/>
        <v>8048.0960639999985</v>
      </c>
      <c r="H35" s="14">
        <v>6.3052281839730799</v>
      </c>
      <c r="I35">
        <v>19.370833333330001</v>
      </c>
      <c r="J35">
        <v>20.066666666669999</v>
      </c>
      <c r="K35">
        <v>16.5625</v>
      </c>
      <c r="L35">
        <v>21.483333333329998</v>
      </c>
      <c r="M35">
        <f t="shared" si="4"/>
        <v>39.755902451968467</v>
      </c>
      <c r="N35">
        <v>20.066666666669999</v>
      </c>
      <c r="O35" s="14">
        <v>6.3052281839730799</v>
      </c>
      <c r="P35" s="17">
        <v>5.5334545630876919</v>
      </c>
      <c r="Q35" s="14">
        <v>-0.43532999999999999</v>
      </c>
      <c r="R35" s="19">
        <v>36325</v>
      </c>
      <c r="S35">
        <v>10.500261</v>
      </c>
      <c r="T35">
        <v>2.9990600000000001</v>
      </c>
      <c r="U35">
        <v>1.1419619999999999</v>
      </c>
      <c r="V35">
        <v>0.38536900000000002</v>
      </c>
      <c r="W35">
        <v>1781.481548</v>
      </c>
      <c r="X35">
        <v>3.4604460000000001</v>
      </c>
      <c r="Y35">
        <v>2.772996</v>
      </c>
      <c r="Z35">
        <v>3492.4779840000001</v>
      </c>
    </row>
    <row r="36" spans="1:26" ht="15" thickBot="1" x14ac:dyDescent="0.35">
      <c r="A36" s="6">
        <v>1991</v>
      </c>
      <c r="B36" s="7">
        <v>-9680</v>
      </c>
      <c r="C36" s="8">
        <v>44632</v>
      </c>
      <c r="D36">
        <f t="shared" si="0"/>
        <v>3.1680034944944442</v>
      </c>
      <c r="E36" s="9">
        <v>23.76</v>
      </c>
      <c r="F36">
        <f t="shared" si="3"/>
        <v>564.53760000000011</v>
      </c>
      <c r="G36">
        <f t="shared" si="1"/>
        <v>13413.413376000004</v>
      </c>
      <c r="H36" s="10">
        <v>9.0480489630988306</v>
      </c>
      <c r="I36">
        <v>22.879166666669999</v>
      </c>
      <c r="J36">
        <v>23.683333333330001</v>
      </c>
      <c r="K36">
        <v>20.462499999999999</v>
      </c>
      <c r="L36">
        <v>24.49166666667</v>
      </c>
      <c r="M36">
        <f t="shared" si="4"/>
        <v>81.867190038633822</v>
      </c>
      <c r="N36">
        <v>23.683333333330001</v>
      </c>
      <c r="O36" s="10">
        <v>9.0480489630988306</v>
      </c>
      <c r="P36" s="16">
        <v>5.9473433282677801</v>
      </c>
      <c r="Q36" s="10">
        <v>-3.0148199999999998</v>
      </c>
      <c r="R36" s="19">
        <v>44632</v>
      </c>
      <c r="S36">
        <v>10.706206</v>
      </c>
      <c r="T36">
        <v>3.1647720000000001</v>
      </c>
      <c r="U36">
        <v>1.436793</v>
      </c>
      <c r="V36">
        <v>0.51726300000000003</v>
      </c>
      <c r="W36">
        <v>13397.257567000001</v>
      </c>
      <c r="X36">
        <v>6.4286279999999998</v>
      </c>
      <c r="Y36">
        <v>5.9199729999999997</v>
      </c>
      <c r="Z36">
        <v>13135.395447999999</v>
      </c>
    </row>
    <row r="37" spans="1:26" ht="15" thickBot="1" x14ac:dyDescent="0.35">
      <c r="A37" s="11">
        <v>1990</v>
      </c>
      <c r="B37" s="12">
        <v>-6841</v>
      </c>
      <c r="C37" s="13">
        <v>35632</v>
      </c>
      <c r="D37">
        <f t="shared" si="0"/>
        <v>2.9030685886905716</v>
      </c>
      <c r="E37" s="9">
        <v>18.23</v>
      </c>
      <c r="F37">
        <f t="shared" si="3"/>
        <v>332.3329</v>
      </c>
      <c r="G37">
        <f t="shared" si="1"/>
        <v>6058.4287670000003</v>
      </c>
      <c r="H37" s="14">
        <v>8.2988056306486584</v>
      </c>
      <c r="I37">
        <v>17.838888888890001</v>
      </c>
      <c r="J37">
        <v>18.216666666670001</v>
      </c>
      <c r="K37">
        <v>15.70416666667</v>
      </c>
      <c r="L37">
        <v>19.595833333329999</v>
      </c>
      <c r="M37">
        <f t="shared" si="4"/>
        <v>68.870174895285871</v>
      </c>
      <c r="N37">
        <v>18.216666666670001</v>
      </c>
      <c r="O37" s="14">
        <v>8.2988056306486584</v>
      </c>
      <c r="P37" s="17">
        <v>9.6277829198170615</v>
      </c>
      <c r="Q37" s="14">
        <v>-1.9912399999999999</v>
      </c>
      <c r="R37" s="19">
        <v>35632</v>
      </c>
      <c r="S37">
        <v>10.480999000000001</v>
      </c>
      <c r="T37">
        <v>2.9023370000000002</v>
      </c>
      <c r="U37">
        <v>1.029782</v>
      </c>
      <c r="V37">
        <v>0.108542</v>
      </c>
      <c r="W37">
        <v>-2745.6744469999999</v>
      </c>
      <c r="X37">
        <v>-2.1478980000000001</v>
      </c>
      <c r="Y37">
        <v>-3.0928499999999999</v>
      </c>
      <c r="Z37">
        <v>-4714.9534739999999</v>
      </c>
    </row>
    <row r="38" spans="1:26" ht="15" thickBot="1" x14ac:dyDescent="0.35">
      <c r="A38" s="6">
        <v>1989</v>
      </c>
      <c r="B38" s="7">
        <v>-7997</v>
      </c>
      <c r="C38" s="8">
        <v>30923</v>
      </c>
      <c r="D38">
        <f t="shared" si="0"/>
        <v>2.7020321287766471</v>
      </c>
      <c r="E38" s="9">
        <v>14.91</v>
      </c>
      <c r="F38">
        <f t="shared" si="3"/>
        <v>222.3081</v>
      </c>
      <c r="G38">
        <f t="shared" si="1"/>
        <v>3314.6137709999998</v>
      </c>
      <c r="H38" s="10">
        <v>8.5454590343698342</v>
      </c>
      <c r="I38">
        <v>14.718055555559999</v>
      </c>
      <c r="J38">
        <v>14.970833333330001</v>
      </c>
      <c r="K38">
        <v>13.216666666669999</v>
      </c>
      <c r="L38">
        <v>15.966666666669999</v>
      </c>
      <c r="M38">
        <f t="shared" si="4"/>
        <v>73.024870108093026</v>
      </c>
      <c r="N38">
        <v>14.970833333330001</v>
      </c>
      <c r="O38" s="10">
        <v>8.5454590343698342</v>
      </c>
      <c r="P38" s="16">
        <v>3.9653556339250629</v>
      </c>
      <c r="Q38" s="10">
        <v>-2.4253999999999998</v>
      </c>
      <c r="R38" s="19">
        <v>30923</v>
      </c>
      <c r="S38">
        <v>10.339256000000001</v>
      </c>
      <c r="T38">
        <v>2.7061039999999998</v>
      </c>
      <c r="U38">
        <v>1.086846</v>
      </c>
      <c r="V38">
        <v>0.143981</v>
      </c>
      <c r="W38">
        <v>284.14680299999998</v>
      </c>
      <c r="X38">
        <v>-0.69311400000000001</v>
      </c>
      <c r="Y38">
        <v>-0.37739200000000001</v>
      </c>
      <c r="Z38">
        <v>687.73679700000002</v>
      </c>
    </row>
    <row r="39" spans="1:26" ht="15" thickBot="1" x14ac:dyDescent="0.35">
      <c r="A39" s="11">
        <v>1988</v>
      </c>
      <c r="B39" s="12">
        <v>-4852</v>
      </c>
      <c r="C39" s="13">
        <v>27044</v>
      </c>
      <c r="D39">
        <f t="shared" si="0"/>
        <v>2.9193910402972683</v>
      </c>
      <c r="E39" s="9">
        <v>18.53</v>
      </c>
      <c r="F39">
        <f t="shared" si="3"/>
        <v>343.36090000000002</v>
      </c>
      <c r="G39">
        <f t="shared" si="1"/>
        <v>6362.4774770000004</v>
      </c>
      <c r="H39" s="14">
        <v>8.4946272490216881</v>
      </c>
      <c r="I39">
        <v>18.14583333333</v>
      </c>
      <c r="J39">
        <v>18.341666666670001</v>
      </c>
      <c r="K39">
        <v>16.9375</v>
      </c>
      <c r="L39">
        <v>19.158333333329999</v>
      </c>
      <c r="M39">
        <f t="shared" si="4"/>
        <v>72.158692099821778</v>
      </c>
      <c r="N39">
        <v>18.341666666670001</v>
      </c>
      <c r="O39" s="14">
        <v>8.4946272490216881</v>
      </c>
      <c r="P39" s="17">
        <v>4.7765641705034234</v>
      </c>
      <c r="Q39" s="14">
        <v>-1.7385999999999999</v>
      </c>
      <c r="R39" s="19">
        <v>27044</v>
      </c>
      <c r="S39">
        <v>10.205220000000001</v>
      </c>
      <c r="T39">
        <v>2.9091749999999998</v>
      </c>
      <c r="U39">
        <v>1.0779399999999999</v>
      </c>
      <c r="V39">
        <v>0.52028300000000005</v>
      </c>
      <c r="W39">
        <v>454.27005500000001</v>
      </c>
      <c r="X39">
        <v>5.4687109999999999</v>
      </c>
      <c r="Y39">
        <v>5.5705929999999997</v>
      </c>
      <c r="Z39">
        <v>412.50297399999999</v>
      </c>
    </row>
    <row r="40" spans="1:26" x14ac:dyDescent="0.3">
      <c r="A40" s="6">
        <v>1987</v>
      </c>
      <c r="B40" s="7"/>
      <c r="C40" s="8"/>
      <c r="H40" s="10">
        <v>9.2579417906624517</v>
      </c>
      <c r="I40">
        <v>14.35</v>
      </c>
      <c r="J40">
        <v>14.77083333333</v>
      </c>
      <c r="K40">
        <v>13.19583333333</v>
      </c>
      <c r="L40">
        <v>15.08333333333</v>
      </c>
      <c r="M40">
        <f t="shared" si="4"/>
        <v>85.70948619929429</v>
      </c>
      <c r="N40">
        <v>14.77083333333</v>
      </c>
      <c r="O40" s="10">
        <v>9.2579417906624517</v>
      </c>
      <c r="P40" s="16">
        <v>5.2542992233077443</v>
      </c>
      <c r="Q40" s="10">
        <v>-1.8300399999999999</v>
      </c>
      <c r="R40" s="19">
        <v>26342</v>
      </c>
      <c r="S40">
        <v>10.17892</v>
      </c>
      <c r="T40">
        <v>2.6926549999999998</v>
      </c>
      <c r="U40">
        <v>1.1699630000000001</v>
      </c>
      <c r="V40">
        <v>0.12449499999999999</v>
      </c>
      <c r="W40">
        <v>3087.7020130000001</v>
      </c>
      <c r="X40">
        <v>-1.0005980000000001</v>
      </c>
      <c r="Y40">
        <v>-1.8044500000000001</v>
      </c>
      <c r="Z40">
        <v>3020.9283099999998</v>
      </c>
    </row>
    <row r="41" spans="1:26" x14ac:dyDescent="0.3">
      <c r="A41" s="11">
        <v>1986</v>
      </c>
      <c r="D41" s="15"/>
      <c r="F41" s="13"/>
      <c r="H41" s="14">
        <v>8.6673348256899754</v>
      </c>
      <c r="I41">
        <v>27.183333333330001</v>
      </c>
      <c r="J41">
        <v>27.329166666670002</v>
      </c>
      <c r="K41">
        <v>26.45833333333</v>
      </c>
      <c r="L41">
        <v>27.762499999999999</v>
      </c>
      <c r="M41">
        <f t="shared" si="4"/>
        <v>75.122692980618282</v>
      </c>
      <c r="N41">
        <v>27.329166666670002</v>
      </c>
      <c r="O41" s="14">
        <v>8.6673348256899754</v>
      </c>
      <c r="P41" s="17">
        <v>3.8207378559692633</v>
      </c>
      <c r="Q41" s="14">
        <v>-2.0927600000000002</v>
      </c>
      <c r="R41" s="19">
        <v>21858</v>
      </c>
      <c r="S41">
        <v>9.9923219999999997</v>
      </c>
      <c r="T41">
        <v>3.3079550000000002</v>
      </c>
      <c r="U41">
        <v>1.006583</v>
      </c>
      <c r="V41">
        <v>0.93093499999999996</v>
      </c>
      <c r="W41">
        <v>-792.66992900000002</v>
      </c>
      <c r="X41">
        <v>14.628185</v>
      </c>
      <c r="Y41">
        <v>14.775264</v>
      </c>
      <c r="Z41">
        <v>-1246.5349670000001</v>
      </c>
    </row>
    <row r="42" spans="1:26" x14ac:dyDescent="0.3">
      <c r="A42" s="6">
        <v>1985</v>
      </c>
      <c r="D42" s="15"/>
      <c r="F42" s="8"/>
      <c r="H42" s="10">
        <v>7.7378913198782469</v>
      </c>
      <c r="I42">
        <v>28.55749999152</v>
      </c>
      <c r="J42">
        <v>28.801666577660001</v>
      </c>
      <c r="K42">
        <v>27.49333333969</v>
      </c>
      <c r="L42">
        <v>29.377500057220001</v>
      </c>
      <c r="M42">
        <f t="shared" si="4"/>
        <v>59.874962078247115</v>
      </c>
      <c r="N42">
        <v>28.801666577660001</v>
      </c>
      <c r="O42" s="10">
        <v>7.7378913198782469</v>
      </c>
      <c r="P42" s="16">
        <v>7.2888929012483894</v>
      </c>
      <c r="Q42" s="10">
        <v>-1.13923</v>
      </c>
      <c r="R42" s="19">
        <v>17416</v>
      </c>
      <c r="S42">
        <v>9.7651450000000004</v>
      </c>
      <c r="T42">
        <v>3.360433</v>
      </c>
      <c r="U42">
        <v>0.944129</v>
      </c>
      <c r="V42">
        <v>0.44024000000000002</v>
      </c>
      <c r="W42">
        <v>-1379.0172090000001</v>
      </c>
      <c r="X42">
        <v>5.3021630000000002</v>
      </c>
      <c r="Y42">
        <v>3.151948</v>
      </c>
      <c r="Z42">
        <v>-1262.5017009999999</v>
      </c>
    </row>
    <row r="43" spans="1:26" x14ac:dyDescent="0.3">
      <c r="A43" s="11">
        <v>1984</v>
      </c>
      <c r="D43" s="15"/>
      <c r="F43" s="13"/>
      <c r="H43" s="14">
        <v>6.7424022337268168</v>
      </c>
      <c r="I43">
        <v>29.657777839240001</v>
      </c>
      <c r="J43">
        <v>29.82916704814</v>
      </c>
      <c r="K43">
        <v>28.72916666667</v>
      </c>
      <c r="L43">
        <v>30.41499980291</v>
      </c>
      <c r="M43">
        <f t="shared" si="4"/>
        <v>45.45998788136437</v>
      </c>
      <c r="N43">
        <v>29.82916704814</v>
      </c>
      <c r="O43" s="14">
        <v>6.7424022337268168</v>
      </c>
      <c r="P43" s="17">
        <v>3.475733240328633</v>
      </c>
      <c r="Q43" s="14">
        <v>-1.4773099999999999</v>
      </c>
      <c r="R43" s="19">
        <v>13030</v>
      </c>
      <c r="S43">
        <v>9.4750099999999993</v>
      </c>
      <c r="T43">
        <v>3.3954870000000001</v>
      </c>
      <c r="U43">
        <v>0.85454200000000002</v>
      </c>
      <c r="V43">
        <v>0.42896600000000001</v>
      </c>
      <c r="W43">
        <v>-1945.478987</v>
      </c>
      <c r="X43">
        <v>5.0635060000000003</v>
      </c>
      <c r="Y43">
        <v>4.284135</v>
      </c>
      <c r="Z43">
        <v>-1742.775586</v>
      </c>
    </row>
    <row r="44" spans="1:26" x14ac:dyDescent="0.3">
      <c r="A44" s="6">
        <v>1983</v>
      </c>
      <c r="D44" s="15"/>
      <c r="H44" s="10">
        <v>6.1507561388372523</v>
      </c>
      <c r="I44">
        <v>32.647222126849996</v>
      </c>
      <c r="J44">
        <v>33.418332894640002</v>
      </c>
      <c r="K44">
        <v>31.75666681925</v>
      </c>
      <c r="L44">
        <v>32.766666666669998</v>
      </c>
      <c r="M44">
        <f t="shared" si="4"/>
        <v>37.831801079444141</v>
      </c>
      <c r="N44">
        <v>33.418332894640002</v>
      </c>
      <c r="O44" s="10">
        <v>6.1507561388372523</v>
      </c>
      <c r="P44" s="16">
        <v>6.0062036237887284</v>
      </c>
      <c r="Q44" s="10">
        <v>-1.7039299999999999</v>
      </c>
      <c r="R44" s="19">
        <v>10627</v>
      </c>
      <c r="S44">
        <v>9.271153</v>
      </c>
      <c r="T44">
        <v>3.5091049999999999</v>
      </c>
      <c r="U44">
        <v>0.90681100000000003</v>
      </c>
      <c r="V44">
        <v>0.51163899999999995</v>
      </c>
      <c r="W44">
        <v>-577.09343200000001</v>
      </c>
      <c r="X44">
        <v>7.7691559999999997</v>
      </c>
      <c r="Y44">
        <v>7.0248650000000001</v>
      </c>
      <c r="Z44">
        <v>-291.12513200000001</v>
      </c>
    </row>
    <row r="45" spans="1:26" x14ac:dyDescent="0.3">
      <c r="A45" s="11">
        <v>1982</v>
      </c>
      <c r="H45" s="14">
        <v>5.8927179212084253</v>
      </c>
      <c r="I45">
        <v>35.484999656680003</v>
      </c>
      <c r="J45">
        <v>36.675833066300001</v>
      </c>
      <c r="K45">
        <v>34.294166247050001</v>
      </c>
      <c r="L45" t="s">
        <v>14</v>
      </c>
      <c r="M45">
        <f t="shared" si="4"/>
        <v>34.724124498930948</v>
      </c>
      <c r="N45">
        <v>36.675833066300001</v>
      </c>
      <c r="O45" s="14">
        <v>5.8927179212084253</v>
      </c>
      <c r="P45" s="17">
        <v>6.7358215279927451</v>
      </c>
      <c r="Q45" s="14">
        <v>-1.65029</v>
      </c>
      <c r="R45" s="19">
        <v>8666</v>
      </c>
      <c r="S45">
        <v>9.0671630000000007</v>
      </c>
      <c r="T45">
        <v>3.6021179999999999</v>
      </c>
      <c r="U45">
        <v>0.88278100000000004</v>
      </c>
      <c r="V45">
        <v>0.50435300000000005</v>
      </c>
      <c r="W45">
        <v>-471.82815799999997</v>
      </c>
      <c r="X45">
        <v>7.9404440000000003</v>
      </c>
      <c r="Y45">
        <v>6.7984460000000002</v>
      </c>
      <c r="Z45">
        <v>-387.00049899999999</v>
      </c>
    </row>
    <row r="46" spans="1:26" x14ac:dyDescent="0.3">
      <c r="A46" s="6">
        <v>1981</v>
      </c>
      <c r="H46" s="10">
        <v>6.7164564829604796</v>
      </c>
      <c r="I46">
        <v>36.868749936420002</v>
      </c>
      <c r="J46">
        <v>37.89166704814</v>
      </c>
      <c r="K46">
        <v>35.845832824710001</v>
      </c>
      <c r="L46" t="s">
        <v>14</v>
      </c>
      <c r="M46">
        <f t="shared" si="4"/>
        <v>45.110787687501855</v>
      </c>
      <c r="N46">
        <v>37.89166704814</v>
      </c>
      <c r="O46" s="10">
        <v>6.7164564829604796</v>
      </c>
      <c r="P46" s="16">
        <v>-5.2381827027535417</v>
      </c>
      <c r="Q46" s="10">
        <v>-1.5082899999999999</v>
      </c>
      <c r="R46" s="19">
        <v>8299</v>
      </c>
      <c r="S46">
        <v>9.0238899999999997</v>
      </c>
      <c r="T46">
        <v>3.6347309999999999</v>
      </c>
      <c r="U46">
        <v>1.019587</v>
      </c>
      <c r="V46">
        <v>0.45485599999999998</v>
      </c>
      <c r="W46">
        <v>847.37500499999999</v>
      </c>
      <c r="X46">
        <v>6.3552540000000004</v>
      </c>
      <c r="Y46">
        <v>5.1880790000000001</v>
      </c>
      <c r="Z46">
        <v>916.72959400000002</v>
      </c>
    </row>
    <row r="47" spans="1:26" x14ac:dyDescent="0.3">
      <c r="A47" s="11">
        <v>1980</v>
      </c>
      <c r="H47" s="14">
        <v>5.6731360366000549</v>
      </c>
      <c r="I47">
        <v>30.964583277700001</v>
      </c>
      <c r="J47">
        <v>32.112500031789999</v>
      </c>
      <c r="K47">
        <v>29.81666652362</v>
      </c>
      <c r="L47" t="s">
        <v>14</v>
      </c>
      <c r="M47">
        <f t="shared" si="4"/>
        <v>32.184472489770179</v>
      </c>
      <c r="N47">
        <v>32.112500031789999</v>
      </c>
      <c r="O47" s="14">
        <v>5.6731360366000549</v>
      </c>
      <c r="P47" s="17">
        <v>5.7125320889457178</v>
      </c>
      <c r="Q47" s="14">
        <v>-0.5</v>
      </c>
      <c r="R47" s="19">
        <v>6392</v>
      </c>
      <c r="S47">
        <v>8.7628020000000006</v>
      </c>
      <c r="T47">
        <v>3.4692449999999999</v>
      </c>
      <c r="U47">
        <v>0.79669900000000005</v>
      </c>
      <c r="V47">
        <v>0.26057999999999998</v>
      </c>
      <c r="W47">
        <v>-744.05306099999996</v>
      </c>
      <c r="X47">
        <v>-0.46937099999999998</v>
      </c>
      <c r="Y47">
        <v>-1.403537</v>
      </c>
      <c r="Z47">
        <v>-868.609734</v>
      </c>
    </row>
    <row r="48" spans="1:26" x14ac:dyDescent="0.3">
      <c r="A48" s="6">
        <v>1979</v>
      </c>
      <c r="H48" s="10">
        <v>5.4891432314449444</v>
      </c>
      <c r="I48">
        <v>12.91666666667</v>
      </c>
      <c r="J48">
        <v>12.91666666667</v>
      </c>
      <c r="K48">
        <v>12.91666666667</v>
      </c>
      <c r="L48" t="s">
        <v>14</v>
      </c>
      <c r="M48">
        <f t="shared" si="4"/>
        <v>30.130693415317847</v>
      </c>
      <c r="N48">
        <v>12.91666666667</v>
      </c>
      <c r="O48" s="10">
        <v>5.4891432314449444</v>
      </c>
      <c r="P48" s="16">
        <v>7.2547645858852716</v>
      </c>
      <c r="Q48" s="10">
        <v>-0.2</v>
      </c>
      <c r="R48" s="19">
        <v>5710</v>
      </c>
      <c r="S48">
        <v>8.6499740000000003</v>
      </c>
      <c r="T48">
        <v>2.5585179999999998</v>
      </c>
      <c r="U48">
        <v>0.914354</v>
      </c>
      <c r="V48">
        <v>-0.50405900000000003</v>
      </c>
      <c r="W48">
        <v>213.717175</v>
      </c>
      <c r="X48">
        <v>-14.695878</v>
      </c>
      <c r="Y48">
        <v>-14.626885</v>
      </c>
      <c r="Z48">
        <v>323.086431</v>
      </c>
    </row>
    <row r="49" spans="1:26" x14ac:dyDescent="0.3">
      <c r="A49" s="11">
        <v>1978</v>
      </c>
      <c r="H49" s="14">
        <v>4.008204484597635</v>
      </c>
      <c r="I49">
        <v>12.565000057220001</v>
      </c>
      <c r="J49">
        <v>12.565000057220001</v>
      </c>
      <c r="K49">
        <v>12.565000057220001</v>
      </c>
      <c r="L49" t="s">
        <v>14</v>
      </c>
      <c r="M49">
        <f t="shared" si="4"/>
        <v>16.065703190348593</v>
      </c>
      <c r="N49">
        <v>12.565000057220001</v>
      </c>
      <c r="O49" s="14">
        <v>4.008204484597635</v>
      </c>
      <c r="P49" s="17">
        <v>1.6631036365752991</v>
      </c>
      <c r="Q49" s="14">
        <v>1.1000000000000001</v>
      </c>
      <c r="R49" s="19">
        <v>3680</v>
      </c>
      <c r="S49">
        <v>8.2106680000000001</v>
      </c>
      <c r="T49">
        <v>2.5309149999999998</v>
      </c>
      <c r="U49">
        <v>0.57464999999999999</v>
      </c>
      <c r="V49">
        <v>0.27230799999999999</v>
      </c>
      <c r="W49">
        <v>-1229.8521479999999</v>
      </c>
      <c r="X49">
        <v>1.458358</v>
      </c>
      <c r="Y49">
        <v>3.6185230000000002</v>
      </c>
      <c r="Z49">
        <v>-1261.266693</v>
      </c>
    </row>
    <row r="50" spans="1:26" x14ac:dyDescent="0.3">
      <c r="A50" s="6">
        <v>1977</v>
      </c>
      <c r="H50" s="10">
        <v>4.4617893441744938</v>
      </c>
      <c r="I50">
        <v>11.63000011444</v>
      </c>
      <c r="J50">
        <v>11.63000011444</v>
      </c>
      <c r="K50">
        <v>11.63000011444</v>
      </c>
      <c r="L50" t="s">
        <v>14</v>
      </c>
      <c r="M50">
        <f t="shared" si="4"/>
        <v>19.90756415178906</v>
      </c>
      <c r="N50">
        <v>11.63000011444</v>
      </c>
      <c r="O50" s="10">
        <v>4.4617893441744938</v>
      </c>
      <c r="P50" s="16">
        <v>9.1499120147881889</v>
      </c>
      <c r="Q50" s="10">
        <v>1</v>
      </c>
      <c r="R50" s="19">
        <v>3802</v>
      </c>
      <c r="S50">
        <v>8.2432829999999999</v>
      </c>
      <c r="T50">
        <v>2.4535879999999999</v>
      </c>
      <c r="U50">
        <v>0.99507500000000004</v>
      </c>
      <c r="V50">
        <v>0.21934799999999999</v>
      </c>
      <c r="W50">
        <v>637.68197799999996</v>
      </c>
      <c r="X50">
        <v>0.82574599999999998</v>
      </c>
      <c r="Y50">
        <v>0.61138000000000003</v>
      </c>
      <c r="Z50">
        <v>818.45942700000001</v>
      </c>
    </row>
    <row r="51" spans="1:26" x14ac:dyDescent="0.3">
      <c r="A51" s="11">
        <v>1976</v>
      </c>
      <c r="H51" s="14">
        <v>3.8159247246956247</v>
      </c>
      <c r="I51">
        <v>10.432500123980001</v>
      </c>
      <c r="J51">
        <v>10.432500123980001</v>
      </c>
      <c r="K51">
        <v>10.432500123980001</v>
      </c>
      <c r="L51" t="s">
        <v>14</v>
      </c>
      <c r="M51">
        <f t="shared" si="4"/>
        <v>14.561281504543379</v>
      </c>
      <c r="N51">
        <v>10.432500123980001</v>
      </c>
      <c r="O51" s="14">
        <v>3.8159247246956247</v>
      </c>
      <c r="P51" s="17">
        <v>1.18533626041211</v>
      </c>
      <c r="Q51" s="14">
        <v>-0.2</v>
      </c>
      <c r="R51" s="19">
        <v>3029</v>
      </c>
      <c r="S51">
        <v>8.0159880000000001</v>
      </c>
      <c r="T51">
        <v>2.3449260000000001</v>
      </c>
      <c r="U51">
        <v>0.73898900000000001</v>
      </c>
      <c r="V51">
        <v>0.178949</v>
      </c>
      <c r="W51">
        <v>-240.22204400000001</v>
      </c>
      <c r="X51">
        <v>0.43222300000000002</v>
      </c>
      <c r="Y51">
        <v>0.31084600000000001</v>
      </c>
      <c r="Z51">
        <v>-333.95568600000001</v>
      </c>
    </row>
    <row r="52" spans="1:26" x14ac:dyDescent="0.3">
      <c r="A52" s="6">
        <v>1975</v>
      </c>
      <c r="H52" s="10">
        <v>3.4235239818871803</v>
      </c>
      <c r="I52">
        <v>10.9749994278</v>
      </c>
      <c r="J52">
        <v>10.9749994278</v>
      </c>
      <c r="K52">
        <v>10.9749994278</v>
      </c>
      <c r="L52" t="s">
        <v>14</v>
      </c>
      <c r="M52">
        <f t="shared" si="4"/>
        <v>11.720516454556655</v>
      </c>
      <c r="N52">
        <v>10.9749994278</v>
      </c>
      <c r="O52" s="10">
        <v>3.4235239818871803</v>
      </c>
      <c r="P52" s="16">
        <v>3.2955211351696265</v>
      </c>
      <c r="Q52" s="10">
        <v>-1.2</v>
      </c>
      <c r="R52" s="19">
        <v>2302</v>
      </c>
      <c r="S52">
        <v>7.7415339999999997</v>
      </c>
      <c r="T52">
        <v>2.3956200000000001</v>
      </c>
      <c r="U52">
        <v>0.66518600000000006</v>
      </c>
      <c r="V52">
        <v>0.32556800000000002</v>
      </c>
      <c r="W52">
        <v>-302.54328500000003</v>
      </c>
      <c r="X52">
        <v>2.004416</v>
      </c>
      <c r="Y52">
        <v>1.9408829999999999</v>
      </c>
      <c r="Z52">
        <v>-267.23275699999999</v>
      </c>
    </row>
    <row r="53" spans="1:26" x14ac:dyDescent="0.3">
      <c r="A53" s="11">
        <v>1974</v>
      </c>
      <c r="H53" s="14">
        <v>3.1369163551779482</v>
      </c>
      <c r="I53">
        <v>2.8075000000000001</v>
      </c>
      <c r="J53">
        <v>2.8075000000000001</v>
      </c>
      <c r="K53">
        <v>2.8075000000000001</v>
      </c>
      <c r="L53" t="s">
        <v>14</v>
      </c>
      <c r="M53">
        <f t="shared" si="4"/>
        <v>9.8402442193829032</v>
      </c>
      <c r="N53">
        <v>2.8075000000000001</v>
      </c>
      <c r="O53" s="14">
        <v>3.1369163551779482</v>
      </c>
      <c r="P53" s="17">
        <v>-0.55330131236585012</v>
      </c>
      <c r="Q53" s="14">
        <v>1.7</v>
      </c>
      <c r="R53" s="19">
        <v>1733</v>
      </c>
      <c r="S53">
        <v>7.4576089999999997</v>
      </c>
      <c r="T53">
        <v>1.032294</v>
      </c>
      <c r="U53">
        <v>0.62354399999999999</v>
      </c>
      <c r="V53">
        <v>-1.0825089999999999</v>
      </c>
      <c r="W53">
        <v>-246.41850199999999</v>
      </c>
      <c r="X53">
        <v>-6.629562</v>
      </c>
      <c r="Y53">
        <v>-6.924194</v>
      </c>
      <c r="Z53">
        <v>-201.94730000000001</v>
      </c>
    </row>
    <row r="54" spans="1:26" x14ac:dyDescent="0.3">
      <c r="A54" s="6">
        <v>1973</v>
      </c>
      <c r="H54" s="10">
        <v>4.3475735407929372</v>
      </c>
      <c r="I54">
        <v>1.82</v>
      </c>
      <c r="J54">
        <v>1.82</v>
      </c>
      <c r="K54">
        <v>1.82</v>
      </c>
      <c r="L54" t="s">
        <v>14</v>
      </c>
      <c r="M54">
        <f t="shared" si="4"/>
        <v>18.901395692602836</v>
      </c>
      <c r="N54">
        <v>1.82</v>
      </c>
      <c r="O54" s="10">
        <v>4.3475735407929372</v>
      </c>
      <c r="P54" s="16">
        <v>1.642930383881855</v>
      </c>
      <c r="Q54" s="10">
        <v>-0.6</v>
      </c>
      <c r="R54" s="19">
        <v>2179</v>
      </c>
      <c r="S54">
        <v>7.6866209999999997</v>
      </c>
      <c r="T54">
        <v>0.59883699999999995</v>
      </c>
      <c r="U54">
        <v>1.1031979999999999</v>
      </c>
      <c r="V54">
        <v>-0.31245200000000001</v>
      </c>
      <c r="W54">
        <v>688.84697500000004</v>
      </c>
      <c r="X54">
        <v>-0.594082</v>
      </c>
      <c r="Y54">
        <v>0.38040499999999999</v>
      </c>
      <c r="Z54">
        <v>725.06832699999995</v>
      </c>
    </row>
    <row r="55" spans="1:26" x14ac:dyDescent="0.3">
      <c r="A55" s="11">
        <v>1972</v>
      </c>
      <c r="H55" s="14">
        <v>3.6888418306751749</v>
      </c>
      <c r="I55">
        <v>1.69</v>
      </c>
      <c r="J55">
        <v>1.69</v>
      </c>
      <c r="K55">
        <v>1.69</v>
      </c>
      <c r="L55" t="s">
        <v>14</v>
      </c>
      <c r="M55">
        <f t="shared" si="4"/>
        <v>13.607554051738976</v>
      </c>
      <c r="N55">
        <v>1.69</v>
      </c>
      <c r="O55" s="14">
        <v>3.6888418306751749</v>
      </c>
      <c r="P55" s="17">
        <v>5.1572297360938197</v>
      </c>
      <c r="Q55" s="14">
        <v>-1</v>
      </c>
      <c r="R55" s="19">
        <v>1727</v>
      </c>
      <c r="S55">
        <v>7.4541409999999999</v>
      </c>
      <c r="T55">
        <v>0.524729</v>
      </c>
      <c r="U55">
        <v>0.66855100000000001</v>
      </c>
      <c r="V55">
        <v>-3.9119999999999997E-3</v>
      </c>
      <c r="W55">
        <v>-146.65461099999999</v>
      </c>
      <c r="X55">
        <v>0.12503800000000001</v>
      </c>
      <c r="Y55">
        <v>0.212363</v>
      </c>
      <c r="Z55">
        <v>-247.90905799999999</v>
      </c>
    </row>
    <row r="56" spans="1:26" x14ac:dyDescent="0.3">
      <c r="A56" s="6">
        <v>1971</v>
      </c>
      <c r="H56" s="10">
        <v>3.2119721690651519</v>
      </c>
      <c r="I56">
        <v>1.21</v>
      </c>
      <c r="J56">
        <v>1.21</v>
      </c>
      <c r="K56">
        <v>1.21</v>
      </c>
      <c r="L56" t="s">
        <v>14</v>
      </c>
      <c r="M56">
        <f t="shared" si="4"/>
        <v>10.316765214849097</v>
      </c>
      <c r="N56">
        <v>1.21</v>
      </c>
      <c r="O56" s="10">
        <v>3.2119721690651502</v>
      </c>
      <c r="P56" s="16">
        <v>6.5397002963209063</v>
      </c>
      <c r="Q56" s="10">
        <v>-1</v>
      </c>
      <c r="R56" s="19">
        <v>1408</v>
      </c>
      <c r="S56">
        <v>7.2499260000000003</v>
      </c>
      <c r="T56">
        <v>0.19062000000000001</v>
      </c>
      <c r="U56">
        <v>0.66956400000000005</v>
      </c>
      <c r="V56">
        <v>-0.27259899999999998</v>
      </c>
      <c r="W56">
        <v>-76.993810999999994</v>
      </c>
      <c r="X56">
        <v>-0.24317900000000001</v>
      </c>
      <c r="Y56">
        <v>-0.26155800000000001</v>
      </c>
      <c r="Z56">
        <v>-55.436872999999999</v>
      </c>
    </row>
    <row r="57" spans="1:26" x14ac:dyDescent="0.3">
      <c r="A57" s="11">
        <v>1970</v>
      </c>
      <c r="I57">
        <v>1.27</v>
      </c>
      <c r="J57">
        <v>1.27</v>
      </c>
      <c r="K57">
        <v>1.27</v>
      </c>
      <c r="L57" t="s">
        <v>14</v>
      </c>
      <c r="N57">
        <v>1.27</v>
      </c>
      <c r="P57" s="17">
        <v>3.3879291759124719</v>
      </c>
      <c r="R57" s="19"/>
    </row>
    <row r="58" spans="1:26" x14ac:dyDescent="0.3">
      <c r="A58" s="6">
        <v>1969</v>
      </c>
      <c r="I58">
        <v>1.32</v>
      </c>
      <c r="J58">
        <v>1.32</v>
      </c>
      <c r="K58">
        <v>1.32</v>
      </c>
      <c r="L58" t="s">
        <v>14</v>
      </c>
      <c r="N58">
        <v>1.32</v>
      </c>
      <c r="P58" s="16">
        <v>7.8259630303188139</v>
      </c>
      <c r="R58" s="19"/>
    </row>
    <row r="59" spans="1:26" x14ac:dyDescent="0.3">
      <c r="A59" s="11">
        <v>1968</v>
      </c>
      <c r="I59">
        <v>1.33</v>
      </c>
      <c r="J59">
        <v>1.33</v>
      </c>
      <c r="K59">
        <v>1.33</v>
      </c>
      <c r="L59" t="s">
        <v>14</v>
      </c>
      <c r="N59">
        <v>1.33</v>
      </c>
      <c r="P59" s="17">
        <v>-5.5328769766273253E-2</v>
      </c>
      <c r="R59" s="19"/>
    </row>
    <row r="60" spans="1:26" x14ac:dyDescent="0.3">
      <c r="A60" s="6">
        <v>1967</v>
      </c>
      <c r="I60">
        <v>1.36</v>
      </c>
      <c r="J60">
        <v>1.36</v>
      </c>
      <c r="K60">
        <v>1.36</v>
      </c>
      <c r="L60" t="s">
        <v>14</v>
      </c>
      <c r="N60">
        <v>1.36</v>
      </c>
      <c r="P60" s="16">
        <v>-2.6357701098842741</v>
      </c>
      <c r="R60" s="19"/>
    </row>
    <row r="61" spans="1:26" x14ac:dyDescent="0.3">
      <c r="A61" s="11">
        <v>1966</v>
      </c>
      <c r="I61">
        <v>1.42</v>
      </c>
      <c r="J61">
        <v>1.42</v>
      </c>
      <c r="K61">
        <v>1.42</v>
      </c>
      <c r="L61" t="s">
        <v>14</v>
      </c>
      <c r="N61">
        <v>1.42</v>
      </c>
      <c r="P61" s="17">
        <v>7.45295012240899</v>
      </c>
      <c r="R61" s="19"/>
    </row>
    <row r="62" spans="1:26" x14ac:dyDescent="0.3">
      <c r="A62" s="6">
        <v>1965</v>
      </c>
      <c r="I62">
        <v>1.45</v>
      </c>
      <c r="J62">
        <v>1.45</v>
      </c>
      <c r="K62">
        <v>1.45</v>
      </c>
      <c r="L62" t="s">
        <v>14</v>
      </c>
      <c r="N62">
        <v>1.45</v>
      </c>
      <c r="P62" s="16">
        <v>5.9943532608308345</v>
      </c>
      <c r="R62" s="19"/>
    </row>
    <row r="63" spans="1:26" x14ac:dyDescent="0.3">
      <c r="A63" s="11">
        <v>1964</v>
      </c>
      <c r="I63">
        <v>1.5</v>
      </c>
      <c r="J63">
        <v>1.5</v>
      </c>
      <c r="K63">
        <v>1.5</v>
      </c>
      <c r="L63" t="s">
        <v>14</v>
      </c>
      <c r="N63">
        <v>1.5</v>
      </c>
      <c r="P63" s="17">
        <v>2.9311277366762556</v>
      </c>
      <c r="R63" s="19"/>
    </row>
    <row r="64" spans="1:26" x14ac:dyDescent="0.3">
      <c r="A64" s="6">
        <v>1963</v>
      </c>
      <c r="I64">
        <v>1.52</v>
      </c>
      <c r="J64">
        <v>1.52</v>
      </c>
      <c r="K64">
        <v>1.52</v>
      </c>
      <c r="L64" t="s">
        <v>14</v>
      </c>
      <c r="N64">
        <v>1.52</v>
      </c>
      <c r="P64" s="16">
        <v>3.722742532708557</v>
      </c>
      <c r="R64" s="19"/>
    </row>
    <row r="65" spans="1:18" x14ac:dyDescent="0.3">
      <c r="A65" s="11">
        <v>1962</v>
      </c>
      <c r="I65">
        <v>1.57</v>
      </c>
      <c r="J65">
        <v>1.57</v>
      </c>
      <c r="K65">
        <v>1.57</v>
      </c>
      <c r="L65" t="s">
        <v>14</v>
      </c>
      <c r="N65">
        <v>1.57</v>
      </c>
      <c r="P65" s="17">
        <v>5.496293740272999</v>
      </c>
      <c r="R65" s="19"/>
    </row>
    <row r="66" spans="1:18" x14ac:dyDescent="0.3">
      <c r="A66" s="6">
        <v>1961</v>
      </c>
      <c r="I66">
        <v>1.63000011444</v>
      </c>
      <c r="J66">
        <v>1.63000011444</v>
      </c>
      <c r="K66">
        <v>1.63000011444</v>
      </c>
      <c r="L66" t="s">
        <v>14</v>
      </c>
      <c r="N66">
        <v>1.63000011444</v>
      </c>
      <c r="P66" s="16">
        <v>2.6247278539078325</v>
      </c>
      <c r="R66" s="19"/>
    </row>
    <row r="67" spans="1:18" x14ac:dyDescent="0.3">
      <c r="A67" s="11">
        <v>1960</v>
      </c>
      <c r="P67" s="17">
        <v>7.390272850410641</v>
      </c>
      <c r="R67" s="19"/>
    </row>
    <row r="68" spans="1:18" x14ac:dyDescent="0.3">
      <c r="A68" s="6">
        <v>1959</v>
      </c>
      <c r="P68" s="16">
        <v>-0.41122303589388626</v>
      </c>
      <c r="R68" s="19"/>
    </row>
    <row r="69" spans="1:18" x14ac:dyDescent="0.3">
      <c r="A69" s="11">
        <v>1958</v>
      </c>
      <c r="P69" s="17">
        <v>5.5784614781042192</v>
      </c>
      <c r="R69" s="19"/>
    </row>
    <row r="70" spans="1:18" x14ac:dyDescent="0.3">
      <c r="A70" s="6">
        <v>1957</v>
      </c>
      <c r="P70" s="16">
        <v>3.2363028485452858</v>
      </c>
      <c r="R70" s="19"/>
    </row>
    <row r="71" spans="1:18" x14ac:dyDescent="0.3">
      <c r="A71" s="11">
        <v>1956</v>
      </c>
      <c r="P71" s="17">
        <v>4.8110587777701976</v>
      </c>
      <c r="R71" s="19"/>
    </row>
    <row r="72" spans="1:18" x14ac:dyDescent="0.3">
      <c r="A72" s="6">
        <v>1955</v>
      </c>
      <c r="P72" s="16">
        <v>6.1502587613248281</v>
      </c>
      <c r="R72" s="19"/>
    </row>
    <row r="73" spans="1:18" x14ac:dyDescent="0.3">
      <c r="A73" s="11">
        <v>1954</v>
      </c>
      <c r="P73" s="17">
        <v>2.6256800477143303</v>
      </c>
      <c r="R73" s="19"/>
    </row>
    <row r="74" spans="1:18" x14ac:dyDescent="0.3">
      <c r="A74" s="6">
        <v>1953</v>
      </c>
      <c r="P74" s="16">
        <v>2.9468334489089942</v>
      </c>
      <c r="R74" s="19"/>
    </row>
    <row r="75" spans="1:18" x14ac:dyDescent="0.3">
      <c r="A75" s="11">
        <v>1952</v>
      </c>
      <c r="R75" s="19"/>
    </row>
    <row r="76" spans="1:18" x14ac:dyDescent="0.3">
      <c r="A76" s="6">
        <v>1951</v>
      </c>
    </row>
    <row r="77" spans="1:18" x14ac:dyDescent="0.3">
      <c r="A77" s="11">
        <v>1950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Joshi</dc:creator>
  <cp:lastModifiedBy>Ravish Beniwal</cp:lastModifiedBy>
  <dcterms:created xsi:type="dcterms:W3CDTF">2025-11-15T14:15:24Z</dcterms:created>
  <dcterms:modified xsi:type="dcterms:W3CDTF">2026-03-13T11:38:30Z</dcterms:modified>
</cp:coreProperties>
</file>